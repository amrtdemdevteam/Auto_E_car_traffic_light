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PCAP_TRAFFIC_LIGHT\AutoEcar_git\docs\test_scenario\"/>
    </mc:Choice>
  </mc:AlternateContent>
  <xr:revisionPtr revIDLastSave="0" documentId="13_ncr:1_{FB3DA674-7013-439B-8469-36E06478CB36}" xr6:coauthVersionLast="47" xr6:coauthVersionMax="47" xr10:uidLastSave="{00000000-0000-0000-0000-000000000000}"/>
  <bookViews>
    <workbookView xWindow="-98" yWindow="-98" windowWidth="24196" windowHeight="14476" tabRatio="500" xr2:uid="{00000000-000D-0000-FFFF-FFFF00000000}"/>
  </bookViews>
  <sheets>
    <sheet name="Test Scenario" sheetId="1" r:id="rId1"/>
    <sheet name="Summary" sheetId="2" r:id="rId2"/>
  </sheets>
  <definedNames>
    <definedName name="_xlnm._FilterDatabase" localSheetId="0" hidden="1">'Test Scenario'!$A$9:$I$59</definedName>
    <definedName name="_xlnm.Print_Titles" localSheetId="0">'Test Scenario'!$9:$9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/>
  <c r="D13" i="2"/>
  <c r="C13" i="2"/>
  <c r="B13" i="2"/>
  <c r="F13" i="2" s="1"/>
  <c r="E12" i="2"/>
  <c r="D12" i="2"/>
  <c r="C12" i="2"/>
  <c r="B12" i="2"/>
  <c r="F12" i="2" s="1"/>
  <c r="E11" i="2"/>
  <c r="D11" i="2"/>
  <c r="C11" i="2"/>
  <c r="B11" i="2"/>
  <c r="F11" i="2" s="1"/>
  <c r="E10" i="2"/>
  <c r="D10" i="2"/>
  <c r="C10" i="2"/>
  <c r="B10" i="2"/>
  <c r="F10" i="2" s="1"/>
  <c r="E9" i="2"/>
  <c r="D9" i="2"/>
  <c r="C9" i="2"/>
  <c r="B9" i="2"/>
  <c r="F9" i="2" s="1"/>
  <c r="E8" i="2"/>
  <c r="D8" i="2"/>
  <c r="C8" i="2"/>
  <c r="B8" i="2"/>
  <c r="F8" i="2" s="1"/>
  <c r="E7" i="2"/>
  <c r="F7" i="2" s="1"/>
  <c r="D7" i="2"/>
  <c r="C7" i="2"/>
  <c r="B7" i="2"/>
  <c r="E6" i="2"/>
  <c r="D6" i="2"/>
  <c r="C6" i="2"/>
  <c r="B6" i="2"/>
  <c r="F6" i="2" s="1"/>
  <c r="E5" i="2"/>
  <c r="D5" i="2"/>
  <c r="C5" i="2"/>
  <c r="B5" i="2"/>
  <c r="F5" i="2" s="1"/>
  <c r="E4" i="2"/>
  <c r="E14" i="2" s="1"/>
  <c r="D4" i="2"/>
  <c r="D14" i="2" s="1"/>
  <c r="C4" i="2"/>
  <c r="C14" i="2" s="1"/>
  <c r="B4" i="2"/>
  <c r="B14" i="2" l="1"/>
  <c r="F4" i="2"/>
  <c r="F14" i="2" s="1"/>
  <c r="C15" i="2" l="1"/>
</calcChain>
</file>

<file path=xl/sharedStrings.xml><?xml version="1.0" encoding="utf-8"?>
<sst xmlns="http://schemas.openxmlformats.org/spreadsheetml/2006/main" count="288" uniqueCount="218">
  <si>
    <t>Test Scenario — E-Car Traffic Light (Prototype / T3)</t>
  </si>
  <si>
    <t>โปรเจกต์</t>
  </si>
  <si>
    <t>E-Car Traffic Light แยก T3</t>
  </si>
  <si>
    <t>เวอร์ชัน</t>
  </si>
  <si>
    <t>Prototype T3 (branch trafficlight, commit 719b799)</t>
  </si>
  <si>
    <t>อุปกรณ์</t>
  </si>
  <si>
    <t>Raspberry Pi 4, TF-Mini Plus ×6, Waveshare USB to 4CH RS485 ×2, จอ ESP32-S3 + P5 64×32 ×5 (B1–B5)</t>
  </si>
  <si>
    <t>สถานที่</t>
  </si>
  <si>
    <t>หน้างานแยก T3</t>
  </si>
  <si>
    <t>วันที่ทดสอบ</t>
  </si>
  <si>
    <t>หมวด</t>
  </si>
  <si>
    <t>หัวข้อทดสอบ</t>
  </si>
  <si>
    <t>เงื่อนไขก่อนทดสอบ</t>
  </si>
  <si>
    <t>ขั้นตอนทดสอบ</t>
  </si>
  <si>
    <t>ผลที่คาดหวัง</t>
  </si>
  <si>
    <t>ผลที่ได้จริง</t>
  </si>
  <si>
    <t>ผล</t>
  </si>
  <si>
    <t>หมายเหตุ</t>
  </si>
  <si>
    <t>ติดตั้งระบบ</t>
  </si>
  <si>
    <t>ติดตั้งโปรแกรม T3 บน Pi</t>
  </si>
  <si>
    <t>Pi 4 Bookworm มีเน็ต</t>
  </si>
  <si>
    <t>sudo ./install.sh --t3</t>
  </si>
  <si>
    <t>ทุกขั้นขึ้น PASS, settings.json เดิมไม่ถูกทับ</t>
  </si>
  <si>
    <t>บริการเริ่มเองหลังบูต</t>
  </si>
  <si>
    <t>ติดตั้งแล้ว</t>
  </si>
  <si>
    <t>sudo reboot แล้ว systemctl is-active mosquitto trafficlight trafficlight-web</t>
  </si>
  <si>
    <t>active ทั้ง 3 บริการ</t>
  </si>
  <si>
    <t>หน้าจอ kiosk</t>
  </si>
  <si>
    <t>ต่อจอทัชที่ Pi</t>
  </si>
  <si>
    <t>รีบูต</t>
  </si>
  <si>
    <t>Chromium เปิดเต็มจอที่หน้าเว็บเอง</t>
  </si>
  <si>
    <t>ไอคอนบน desktop</t>
  </si>
  <si>
    <t>ปิด kiosk อยู่</t>
  </si>
  <si>
    <t>ดับเบิลคลิกไอคอน</t>
  </si>
  <si>
    <t>เปิดหน้าเว็บทันที ไม่มีกล่อง Execute file</t>
  </si>
  <si>
    <t>หน้าเว็บ</t>
  </si>
  <si>
    <t>ล็อกอิน</t>
  </si>
  <si>
    <t>มีบัญชี editor และ viewer</t>
  </si>
  <si>
    <t>ใส่รหัสถูก/ผิด</t>
  </si>
  <si>
    <t>ถูก = เข้าได้, ผิด = แจ้งรหัสไม่ถูกต้อง</t>
  </si>
  <si>
    <t>บัญชีดูอย่างเดียว</t>
  </si>
  <si>
    <t>ล็อกอิน viewer</t>
  </si>
  <si>
    <t>ลองแก้ค่า/สั่งปิดเลน</t>
  </si>
  <si>
    <t>ไม่มีปุ่มแก้ไข, API ตอบ 403</t>
  </si>
  <si>
    <t>คีย์บอร์ดบนจอ</t>
  </si>
  <si>
    <t>ใช้จอทัชที่ Pi ไม่มีคีย์บอร์ด</t>
  </si>
  <si>
    <t>แตะช่องชื่อผู้ใช้/รหัส/ตัวเลข</t>
  </si>
  <si>
    <t>คีย์บอร์ดขึ้น พิมพ์ไทย/อังกฤษ/ตัวเลขได้ Enter ล็อกอินได้</t>
  </si>
  <si>
    <t>ตรวจ config ผิด</t>
  </si>
  <si>
    <t>editor</t>
  </si>
  <si>
    <t>ตั้งจอซ้ำ 2 เลน แล้วบันทึก</t>
  </si>
  <si>
    <t>ไม่บันทึก แจ้งเลน/สาเหตุ</t>
  </si>
  <si>
    <t>ใช้ค่าใหม่</t>
  </si>
  <si>
    <t>มีเลนเขียวอยู่</t>
  </si>
  <si>
    <t>บันทึกค่าใหม่</t>
  </si>
  <si>
    <t>รีสตาร์ตเมื่อแยกว่างเท่านั้น ไม่ตัดเขียวกลางคัน</t>
  </si>
  <si>
    <t>ย้อนเวอร์ชัน config</t>
  </si>
  <si>
    <t>มีอย่างน้อย 2 เวอร์ชัน</t>
  </si>
  <si>
    <t>ระบบ → ประวัติ → ย้อนกลับ</t>
  </si>
  <si>
    <t>ค่ากลับเป็นเวอร์ชันที่เลือก</t>
  </si>
  <si>
    <t>ค่าคงอยู่หลังรีบูต</t>
  </si>
  <si>
    <t>ตั้งผังแมพ/บัญชีแล้ว</t>
  </si>
  <si>
    <t>sudo reboot</t>
  </si>
  <si>
    <t>ผัง ค่า และบัญชีเหมือนเดิม</t>
  </si>
  <si>
    <t>ตั้งค่าจอ</t>
  </si>
  <si>
    <t>ลงโปรแกรมจอผ่าน USB</t>
  </si>
  <si>
    <t>เสียบ ESP32 ที่ Pi</t>
  </si>
  <si>
    <t>ระบบ → ลงโปรแกรมจอ เลือกจอ 1</t>
  </si>
  <si>
    <t>แฟลชสำเร็จ, รายการพอร์ตไม่แสดงพอร์ต RS485</t>
  </si>
  <si>
    <t>จอ B1–B5 ออนไลน์</t>
  </si>
  <si>
    <t>แฟลชครบ ต่อ LAN</t>
  </si>
  <si>
    <t>ดูหน้าเว็บ/ping 10.77.0.31–35</t>
  </si>
  <si>
    <t>ทุกจอออนไลน์ ACK สด</t>
  </si>
  <si>
    <t>ระบุจอ (identify)</t>
  </si>
  <si>
    <t>จอออนไลน์</t>
  </si>
  <si>
    <t>กดระบุจอ B3</t>
  </si>
  <si>
    <t>เฉพาะ B3 ขึ้น TEST ตามเวลาที่ตั้ง</t>
  </si>
  <si>
    <t>เซนเซอร์</t>
  </si>
  <si>
    <t>Waveshare 4CH × 2</t>
  </si>
  <si>
    <t>เสียบ USB ทั้งสองตัว</t>
  </si>
  <si>
    <t>ดูรายการพอร์ตในหน้าเว็บ</t>
  </si>
  <si>
    <t>เห็น 8 ช่อง ชื่อ USB-485 #N · ช่อง k</t>
  </si>
  <si>
    <t>ผูกเซนเซอร์ด้วย หาด้วยมือ</t>
  </si>
  <si>
    <t>ต่อ TF-Mini ครบ 6 ตัว</t>
  </si>
  <si>
    <t>กดหาด้วยมือ แล้วบังทีละตัว</t>
  </si>
  <si>
    <t>ผูก C1.1, C1.2, C2, C3, C4, C5 ถูกช่อง</t>
  </si>
  <si>
    <t>ค่าสดในหน้าเว็บ</t>
  </si>
  <si>
    <t>ผูกครบ</t>
  </si>
  <si>
    <t>บังเซนเซอร์ที่ระยะต่าง ๆ</t>
  </si>
  <si>
    <t>ระยะ/strength เปลี่ยนตามจริง</t>
  </si>
  <si>
    <t>debounce 0.2 s</t>
  </si>
  <si>
    <t>—</t>
  </si>
  <si>
    <t>บังเร็วกว่า 0.2 s</t>
  </si>
  <si>
    <t>ไม่นับเป็นมีรถ</t>
  </si>
  <si>
    <t>ลอจิกหลัก</t>
  </si>
  <si>
    <t>เริ่มเครื่อง (STARTING)</t>
  </si>
  <si>
    <t>จอ/เซนเซอร์ครบ</t>
  </si>
  <si>
    <t>รีสตาร์ตบริการ</t>
  </si>
  <si>
    <t>ทุกจอ F01 อย่างน้อย 3 s ไม่มีเขียว</t>
  </si>
  <si>
    <t>เลน 2 Manual ได้เขียว</t>
  </si>
  <si>
    <t>แยกว่าง</t>
  </si>
  <si>
    <t>รถเข้า C2</t>
  </si>
  <si>
    <t>ได้ตั๋ว → X ทุกจอ ≥ 1 s → B2 เขียว</t>
  </si>
  <si>
    <t>เลน 2 จบรอบ</t>
  </si>
  <si>
    <t>B2 เขียว</t>
  </si>
  <si>
    <t>รถพ้น C2</t>
  </si>
  <si>
    <t>พ้น 0.2 s + 3.0 s แล้ว B2 กลับ X</t>
  </si>
  <si>
    <t>Manual ทีละคัน</t>
  </si>
  <si>
    <t>คันที่ 2 บัง C2 ระหว่างนับ 3 s</t>
  </si>
  <si>
    <t>ไม่ต่อเขียว คันที่ 2 ได้ตั๋วใหม่ ผ่าน X ก่อน</t>
  </si>
  <si>
    <t>เลน 1 Auto</t>
  </si>
  <si>
    <t>รถผ่าน C1.2 แล้วถึง C1.1</t>
  </si>
  <si>
    <t>ตั๋วสร้างที่ C1.2, matched ที่ C1.1 → B1 เขียว</t>
  </si>
  <si>
    <t>Auto ขบวน + dolly</t>
  </si>
  <si>
    <t>B1 เขียว</t>
  </si>
  <si>
    <t>ขบวนรถ + dolly ผ่าน C1.1</t>
  </si>
  <si>
    <t>ไม่ตัดเขียวระหว่างขบวน (gap hold 1.2 s), พ้นแล้วนับ 4 s</t>
  </si>
  <si>
    <t>Auto ต่อเนื่อง</t>
  </si>
  <si>
    <t>คันใหม่ถึงระหว่างเขียว</t>
  </si>
  <si>
    <t>เขียวต่อ ไม่คั่น X</t>
  </si>
  <si>
    <t>ตั๋ว Auto หมดอายุ</t>
  </si>
  <si>
    <t>ผ่าน C1.2 แล้วไม่ถึง C1.1</t>
  </si>
  <si>
    <t>ใน 7 s ทิ้งตั๋ว มี log ticket_expired</t>
  </si>
  <si>
    <t>Auto ก่อน Manual</t>
  </si>
  <si>
    <t>มีตั๋ว Manual รอ</t>
  </si>
  <si>
    <t>ตั๋ว Auto เข้าคิว</t>
  </si>
  <si>
    <t>Auto ได้เขียวก่อน</t>
  </si>
  <si>
    <t>Manual มาก่อนได้ก่อน</t>
  </si>
  <si>
    <t>รถเข้า C4 ก่อน C2</t>
  </si>
  <si>
    <t>B4 ก่อน B2</t>
  </si>
  <si>
    <t>คำขอใหม่ไม่ตัดเขียว</t>
  </si>
  <si>
    <t>มีเลนเขียว</t>
  </si>
  <si>
    <t>ขอจากเลนอื่น</t>
  </si>
  <si>
    <t>เลนเดิมเขียวจนจบรอบ</t>
  </si>
  <si>
    <t>เขียวทีละเลน</t>
  </si>
  <si>
    <t>ขอพร้อมกันทั้ง 5 เลน</t>
  </si>
  <si>
    <t>มีเขียวได้ครั้งละ 1 จอ, X ≥ 1 s ทุกครั้งที่เปลี่ยนเลน</t>
  </si>
  <si>
    <t>เลนยื่นมือ</t>
  </si>
  <si>
    <t>ขอคิวด้วยมือ</t>
  </si>
  <si>
    <t>เลน 3 ว่าง</t>
  </si>
  <si>
    <t>ยื่นมือที่ C3 ค้าง 3 s</t>
  </si>
  <si>
    <t>จอ B3 HOLD → HAND1 → HAND2 → HANDOK ได้ตั๋ว</t>
  </si>
  <si>
    <t>แกว่งแขน/มือหลุด</t>
  </si>
  <si>
    <t>มือหลุดนานกว่า 0.3 s</t>
  </si>
  <si>
    <t>นับใหม่ ไม่ได้ตั๋ว</t>
  </si>
  <si>
    <t>ยื่นซ้ำ</t>
  </si>
  <si>
    <t>เลน 3 มีตั๋วรอ</t>
  </si>
  <si>
    <t>ยื่นมืออีกครั้ง</t>
  </si>
  <si>
    <t>ไม่เพิ่มตั๋ว</t>
  </si>
  <si>
    <t>เขียวเลนพิเศษ</t>
  </si>
  <si>
    <t>ถึงคิวเลน 5</t>
  </si>
  <si>
    <t>B5 เขียว 3 s แล้วจบ</t>
  </si>
  <si>
    <t>ความผิดปกติ</t>
  </si>
  <si>
    <t>เซนเซอร์เสีย เลนไม่เขียว</t>
  </si>
  <si>
    <t>ปกติ</t>
  </si>
  <si>
    <t>ถอดเซนเซอร์ C2</t>
  </si>
  <si>
    <t>2 s แล้วปิดเลน 2, B2 ขึ้น F10, เลนอื่นปกติ</t>
  </si>
  <si>
    <t>เซนเซอร์เสีย เลนเขียว</t>
  </si>
  <si>
    <t>B4 เขียว</t>
  </si>
  <si>
    <t>ถอดเซนเซอร์ C4</t>
  </si>
  <si>
    <t>เลิกเขียวทันที ผ่าน X + ACK ปิดเลน 4 เลนอื่นต่อ</t>
  </si>
  <si>
    <t>เลนมือเสียตอนเขียว</t>
  </si>
  <si>
    <t>B3 เขียว</t>
  </si>
  <si>
    <t>ถอด C3</t>
  </si>
  <si>
    <t>เขียวครบเวลาแล้วปิดเลน 3</t>
  </si>
  <si>
    <t>C1.2 เสีย</t>
  </si>
  <si>
    <t>ถอด C1.2</t>
  </si>
  <si>
    <t>เลน 1 ยังทำงาน C1.1 แทรกคิวแทน มีแจ้งเตือน</t>
  </si>
  <si>
    <t>C1.1 เสีย</t>
  </si>
  <si>
    <t>ถอด C1.1</t>
  </si>
  <si>
    <t>ปิดเลน 1, B1 F10</t>
  </si>
  <si>
    <t>เซนเซอร์กลับมา</t>
  </si>
  <si>
    <t>ต่อจาก FLT-01</t>
  </si>
  <si>
    <t>เสียบกลับ</t>
  </si>
  <si>
    <t>ข้อมูลนิ่ง 1 s เปิดเลนเอง</t>
  </si>
  <si>
    <t>จอหลุด เลนไม่เขียว</t>
  </si>
  <si>
    <t>ถอด LAN ของ B2</t>
  </si>
  <si>
    <t>ปิดเลน 2 (E201) เลนอื่นปกติ</t>
  </si>
  <si>
    <t>จอหลุด เลนเขียว</t>
  </si>
  <si>
    <t>ถอด LAN ของ B4</t>
  </si>
  <si>
    <t>B4 เลิกเขียวเองใน 5 s (F11), Pi จบเขียว รอ 6 s ก่อนเปิดเลนอื่น</t>
  </si>
  <si>
    <t>ตัวควบคุมหยุด</t>
  </si>
  <si>
    <t>systemctl stop trafficlight</t>
  </si>
  <si>
    <t>ทุกจอ F11 ทันที ไม่ค้างเขียว</t>
  </si>
  <si>
    <t>ไฟดับ Pi ระหว่างเขียว</t>
  </si>
  <si>
    <t>ดึงไฟ Pi แล้วจ่ายกลับ</t>
  </si>
  <si>
    <t>จอเลิกเขียวเอง, หลังบูตผ่าน STARTING ก่อน ไม่มีเขียวค้าง</t>
  </si>
  <si>
    <t>จอแสดงผล</t>
  </si>
  <si>
    <t>ภาพบนจอตรงหน้าเว็บ</t>
  </si>
  <si>
    <t>สลับสถานะต่าง ๆ</t>
  </si>
  <si>
    <t>GO/LEFT/RIGHT, X, F01, F10, F11, F12 ตรงกับที่หน้าเว็บแสดง</t>
  </si>
  <si>
    <t>จอรีเซ็ต/ไฟจอดับ</t>
  </si>
  <si>
    <t>ดึงไฟจอเลนที่เขียวแล้วต่อกลับ</t>
  </si>
  <si>
    <t>บูตกลับมาไม่เขียวจนได้คำสั่งใหม่</t>
  </si>
  <si>
    <t>อัปเดตจอ (OTA)</t>
  </si>
  <si>
    <t>อัปเดตไฟล์ถูกจอ</t>
  </si>
  <si>
    <t>อัปโหลดไฟล์ display3 ให้ B3</t>
  </si>
  <si>
    <t>สำเร็จ จอบูตกลับมาเอง</t>
  </si>
  <si>
    <t>ไฟล์ผิดหมายเลขจอ</t>
  </si>
  <si>
    <t>อัปโหลดไฟล์ display1 ให้ B3</t>
  </si>
  <si>
    <t>ปฏิเสธ แจ้งไฟล์ไม่ตรงจอ</t>
  </si>
  <si>
    <t>OTA ขณะเลนเขียว</t>
  </si>
  <si>
    <t>อัปเดต B2</t>
  </si>
  <si>
    <t>เลน 2 ปิด จอเลิกเขียว เลนอื่นทำงานต่อ</t>
  </si>
  <si>
    <t>โหมดจำลอง</t>
  </si>
  <si>
    <t>สิทธิ์และการเตือน</t>
  </si>
  <si>
    <t>ไม่มีรถจริงในแยก</t>
  </si>
  <si>
    <t>admin เปิดโหมดจำลอง, ล็อกอิน user อื่นดู</t>
  </si>
  <si>
    <t>เฉพาะ admin มีแถบจำลอง, ทุกคนเห็นแถบแดง, ปิดเองใน 30 นาที</t>
  </si>
  <si>
    <t>สรุปผลการทดสอบ</t>
  </si>
  <si>
    <t>จำนวนข้อ</t>
  </si>
  <si>
    <t>Pass</t>
  </si>
  <si>
    <t>Fail</t>
  </si>
  <si>
    <t>N/A</t>
  </si>
  <si>
    <t>ยังไม่ทดสอบ</t>
  </si>
  <si>
    <t>รวม</t>
  </si>
  <si>
    <t>% ผ่าน (Pass / ข้อที่ทดสอบแล้ว)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</si>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</sst>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i/>
      <sz val="9"/>
      <name val="Tahoma"/>
      <family val="2"/>
    </font>
    <font>
      <b/>
      <sz val="12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0070C0"/>
        <bgColor rgb="FFC0C0C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5"/>
  <sheetViews>
    <sheetView tabSelected="1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64" sqref="E64"/>
    </sheetView>
  </sheetViews>
  <sheetFormatPr defaultColWidth="8.6640625" defaultRowHeight="14.25" x14ac:dyDescent="0.45"/>
  <cols>
    <col min="1" max="1" width="8" customWidth="1"/>
    <col min="2" max="2" width="14" customWidth="1"/>
    <col min="3" max="3" width="30" customWidth="1"/>
    <col min="4" max="4" width="26" customWidth="1"/>
    <col min="5" max="6" width="40" customWidth="1"/>
    <col min="7" max="7" width="36" customWidth="1"/>
    <col min="8" max="8" width="8" customWidth="1"/>
    <col min="9" max="9" width="24" customWidth="1"/>
  </cols>
  <sheetData>
    <row r="1" spans="1:9" ht="16.5" x14ac:dyDescent="0.45">
      <c r="A1" s="1" t="s">
        <v>0</v>
      </c>
    </row>
    <row r="3" spans="1:9" x14ac:dyDescent="0.45">
      <c r="A3" s="2" t="s">
        <v>1</v>
      </c>
      <c r="C3" s="3" t="s">
        <v>2</v>
      </c>
    </row>
    <row r="4" spans="1:9" x14ac:dyDescent="0.45">
      <c r="A4" s="2" t="s">
        <v>3</v>
      </c>
      <c r="C4" s="3" t="s">
        <v>4</v>
      </c>
    </row>
    <row r="5" spans="1:9" x14ac:dyDescent="0.45">
      <c r="A5" s="2" t="s">
        <v>5</v>
      </c>
      <c r="C5" s="3" t="s">
        <v>6</v>
      </c>
    </row>
    <row r="6" spans="1:9" x14ac:dyDescent="0.45">
      <c r="A6" s="2" t="s">
        <v>7</v>
      </c>
      <c r="C6" s="3" t="s">
        <v>8</v>
      </c>
    </row>
    <row r="7" spans="1:9" x14ac:dyDescent="0.45">
      <c r="A7" s="2" t="s">
        <v>9</v>
      </c>
      <c r="C7" s="3"/>
    </row>
    <row r="9" spans="1:9" x14ac:dyDescent="0.45">
      <c r="A9" s="14" t="s">
        <v>217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</row>
    <row r="10" spans="1:9" x14ac:dyDescent="0.45">
      <c r="A10" s="4">
        <v>1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/>
      <c r="H10" s="4"/>
      <c r="I10" s="5"/>
    </row>
    <row r="11" spans="1:9" ht="25.5" x14ac:dyDescent="0.45">
      <c r="A11" s="4">
        <v>2</v>
      </c>
      <c r="B11" s="5" t="s">
        <v>18</v>
      </c>
      <c r="C11" s="5" t="s">
        <v>23</v>
      </c>
      <c r="D11" s="5" t="s">
        <v>24</v>
      </c>
      <c r="E11" s="5" t="s">
        <v>25</v>
      </c>
      <c r="F11" s="5" t="s">
        <v>26</v>
      </c>
      <c r="G11" s="5"/>
      <c r="H11" s="4"/>
      <c r="I11" s="5"/>
    </row>
    <row r="12" spans="1:9" x14ac:dyDescent="0.45">
      <c r="A12" s="4">
        <v>3</v>
      </c>
      <c r="B12" s="5" t="s">
        <v>18</v>
      </c>
      <c r="C12" s="5" t="s">
        <v>27</v>
      </c>
      <c r="D12" s="5" t="s">
        <v>28</v>
      </c>
      <c r="E12" s="5" t="s">
        <v>29</v>
      </c>
      <c r="F12" s="5" t="s">
        <v>30</v>
      </c>
      <c r="G12" s="5"/>
      <c r="H12" s="4"/>
      <c r="I12" s="5"/>
    </row>
    <row r="13" spans="1:9" x14ac:dyDescent="0.45">
      <c r="A13" s="4">
        <v>4</v>
      </c>
      <c r="B13" s="5" t="s">
        <v>18</v>
      </c>
      <c r="C13" s="5" t="s">
        <v>31</v>
      </c>
      <c r="D13" s="5" t="s">
        <v>32</v>
      </c>
      <c r="E13" s="5" t="s">
        <v>33</v>
      </c>
      <c r="F13" s="5" t="s">
        <v>34</v>
      </c>
      <c r="G13" s="5"/>
      <c r="H13" s="4"/>
      <c r="I13" s="5"/>
    </row>
    <row r="14" spans="1:9" x14ac:dyDescent="0.45">
      <c r="A14" s="4">
        <v>5</v>
      </c>
      <c r="B14" s="5" t="s">
        <v>35</v>
      </c>
      <c r="C14" s="5" t="s">
        <v>36</v>
      </c>
      <c r="D14" s="5" t="s">
        <v>37</v>
      </c>
      <c r="E14" s="5" t="s">
        <v>38</v>
      </c>
      <c r="F14" s="5" t="s">
        <v>39</v>
      </c>
      <c r="G14" s="5"/>
      <c r="H14" s="4"/>
      <c r="I14" s="5"/>
    </row>
    <row r="15" spans="1:9" x14ac:dyDescent="0.45">
      <c r="A15" s="4">
        <v>6</v>
      </c>
      <c r="B15" s="5" t="s">
        <v>35</v>
      </c>
      <c r="C15" s="5" t="s">
        <v>40</v>
      </c>
      <c r="D15" s="5" t="s">
        <v>41</v>
      </c>
      <c r="E15" s="5" t="s">
        <v>42</v>
      </c>
      <c r="F15" s="5" t="s">
        <v>43</v>
      </c>
      <c r="G15" s="5"/>
      <c r="H15" s="4"/>
      <c r="I15" s="5"/>
    </row>
    <row r="16" spans="1:9" ht="25.5" x14ac:dyDescent="0.45">
      <c r="A16" s="4">
        <v>7</v>
      </c>
      <c r="B16" s="5" t="s">
        <v>35</v>
      </c>
      <c r="C16" s="5" t="s">
        <v>44</v>
      </c>
      <c r="D16" s="5" t="s">
        <v>45</v>
      </c>
      <c r="E16" s="5" t="s">
        <v>46</v>
      </c>
      <c r="F16" s="5" t="s">
        <v>47</v>
      </c>
      <c r="G16" s="5"/>
      <c r="H16" s="4"/>
      <c r="I16" s="5"/>
    </row>
    <row r="17" spans="1:9" x14ac:dyDescent="0.45">
      <c r="A17" s="4">
        <v>8</v>
      </c>
      <c r="B17" s="5" t="s">
        <v>35</v>
      </c>
      <c r="C17" s="5" t="s">
        <v>48</v>
      </c>
      <c r="D17" s="5" t="s">
        <v>49</v>
      </c>
      <c r="E17" s="5" t="s">
        <v>50</v>
      </c>
      <c r="F17" s="5" t="s">
        <v>51</v>
      </c>
      <c r="G17" s="5"/>
      <c r="H17" s="4"/>
      <c r="I17" s="5"/>
    </row>
    <row r="18" spans="1:9" x14ac:dyDescent="0.45">
      <c r="A18" s="4">
        <v>9</v>
      </c>
      <c r="B18" s="5" t="s">
        <v>35</v>
      </c>
      <c r="C18" s="5" t="s">
        <v>52</v>
      </c>
      <c r="D18" s="5" t="s">
        <v>53</v>
      </c>
      <c r="E18" s="5" t="s">
        <v>54</v>
      </c>
      <c r="F18" s="5" t="s">
        <v>55</v>
      </c>
      <c r="G18" s="5"/>
      <c r="H18" s="4"/>
      <c r="I18" s="5"/>
    </row>
    <row r="19" spans="1:9" x14ac:dyDescent="0.45">
      <c r="A19" s="4">
        <v>10</v>
      </c>
      <c r="B19" s="5" t="s">
        <v>35</v>
      </c>
      <c r="C19" s="5" t="s">
        <v>56</v>
      </c>
      <c r="D19" s="5" t="s">
        <v>57</v>
      </c>
      <c r="E19" s="5" t="s">
        <v>58</v>
      </c>
      <c r="F19" s="5" t="s">
        <v>59</v>
      </c>
      <c r="G19" s="5"/>
      <c r="H19" s="4"/>
      <c r="I19" s="5"/>
    </row>
    <row r="20" spans="1:9" x14ac:dyDescent="0.45">
      <c r="A20" s="4">
        <v>11</v>
      </c>
      <c r="B20" s="5" t="s">
        <v>35</v>
      </c>
      <c r="C20" s="5" t="s">
        <v>60</v>
      </c>
      <c r="D20" s="5" t="s">
        <v>61</v>
      </c>
      <c r="E20" s="5" t="s">
        <v>62</v>
      </c>
      <c r="F20" s="5" t="s">
        <v>63</v>
      </c>
      <c r="G20" s="5"/>
      <c r="H20" s="4"/>
      <c r="I20" s="5"/>
    </row>
    <row r="21" spans="1:9" x14ac:dyDescent="0.45">
      <c r="A21" s="4">
        <v>12</v>
      </c>
      <c r="B21" s="5" t="s">
        <v>64</v>
      </c>
      <c r="C21" s="5" t="s">
        <v>65</v>
      </c>
      <c r="D21" s="5" t="s">
        <v>66</v>
      </c>
      <c r="E21" s="5" t="s">
        <v>67</v>
      </c>
      <c r="F21" s="5" t="s">
        <v>68</v>
      </c>
      <c r="G21" s="5"/>
      <c r="H21" s="4"/>
      <c r="I21" s="5"/>
    </row>
    <row r="22" spans="1:9" x14ac:dyDescent="0.45">
      <c r="A22" s="4">
        <v>13</v>
      </c>
      <c r="B22" s="5" t="s">
        <v>64</v>
      </c>
      <c r="C22" s="5" t="s">
        <v>69</v>
      </c>
      <c r="D22" s="5" t="s">
        <v>70</v>
      </c>
      <c r="E22" s="5" t="s">
        <v>71</v>
      </c>
      <c r="F22" s="5" t="s">
        <v>72</v>
      </c>
      <c r="G22" s="5"/>
      <c r="H22" s="4"/>
      <c r="I22" s="5"/>
    </row>
    <row r="23" spans="1:9" x14ac:dyDescent="0.45">
      <c r="A23" s="4">
        <v>14</v>
      </c>
      <c r="B23" s="5" t="s">
        <v>64</v>
      </c>
      <c r="C23" s="5" t="s">
        <v>73</v>
      </c>
      <c r="D23" s="5" t="s">
        <v>74</v>
      </c>
      <c r="E23" s="5" t="s">
        <v>75</v>
      </c>
      <c r="F23" s="5" t="s">
        <v>76</v>
      </c>
      <c r="G23" s="5"/>
      <c r="H23" s="4"/>
      <c r="I23" s="5"/>
    </row>
    <row r="24" spans="1:9" x14ac:dyDescent="0.45">
      <c r="A24" s="4">
        <v>15</v>
      </c>
      <c r="B24" s="5" t="s">
        <v>77</v>
      </c>
      <c r="C24" s="5" t="s">
        <v>78</v>
      </c>
      <c r="D24" s="5" t="s">
        <v>79</v>
      </c>
      <c r="E24" s="5" t="s">
        <v>80</v>
      </c>
      <c r="F24" s="5" t="s">
        <v>81</v>
      </c>
      <c r="G24" s="5"/>
      <c r="H24" s="4"/>
      <c r="I24" s="5"/>
    </row>
    <row r="25" spans="1:9" x14ac:dyDescent="0.45">
      <c r="A25" s="4">
        <v>16</v>
      </c>
      <c r="B25" s="5" t="s">
        <v>77</v>
      </c>
      <c r="C25" s="5" t="s">
        <v>82</v>
      </c>
      <c r="D25" s="5" t="s">
        <v>83</v>
      </c>
      <c r="E25" s="5" t="s">
        <v>84</v>
      </c>
      <c r="F25" s="5" t="s">
        <v>85</v>
      </c>
      <c r="G25" s="5"/>
      <c r="H25" s="4"/>
      <c r="I25" s="5"/>
    </row>
    <row r="26" spans="1:9" x14ac:dyDescent="0.45">
      <c r="A26" s="4">
        <v>17</v>
      </c>
      <c r="B26" s="5" t="s">
        <v>77</v>
      </c>
      <c r="C26" s="5" t="s">
        <v>86</v>
      </c>
      <c r="D26" s="5" t="s">
        <v>87</v>
      </c>
      <c r="E26" s="5" t="s">
        <v>88</v>
      </c>
      <c r="F26" s="5" t="s">
        <v>89</v>
      </c>
      <c r="G26" s="5"/>
      <c r="H26" s="4"/>
      <c r="I26" s="5"/>
    </row>
    <row r="27" spans="1:9" x14ac:dyDescent="0.45">
      <c r="A27" s="4">
        <v>18</v>
      </c>
      <c r="B27" s="5" t="s">
        <v>77</v>
      </c>
      <c r="C27" s="5" t="s">
        <v>90</v>
      </c>
      <c r="D27" s="5" t="s">
        <v>91</v>
      </c>
      <c r="E27" s="5" t="s">
        <v>92</v>
      </c>
      <c r="F27" s="5" t="s">
        <v>93</v>
      </c>
      <c r="G27" s="5"/>
      <c r="H27" s="4"/>
      <c r="I27" s="5"/>
    </row>
    <row r="28" spans="1:9" x14ac:dyDescent="0.45">
      <c r="A28" s="4">
        <v>19</v>
      </c>
      <c r="B28" s="5" t="s">
        <v>94</v>
      </c>
      <c r="C28" s="5" t="s">
        <v>95</v>
      </c>
      <c r="D28" s="5" t="s">
        <v>96</v>
      </c>
      <c r="E28" s="5" t="s">
        <v>97</v>
      </c>
      <c r="F28" s="5" t="s">
        <v>98</v>
      </c>
      <c r="G28" s="5"/>
      <c r="H28" s="4"/>
      <c r="I28" s="5"/>
    </row>
    <row r="29" spans="1:9" x14ac:dyDescent="0.45">
      <c r="A29" s="4">
        <v>20</v>
      </c>
      <c r="B29" s="5" t="s">
        <v>94</v>
      </c>
      <c r="C29" s="5" t="s">
        <v>99</v>
      </c>
      <c r="D29" s="5" t="s">
        <v>100</v>
      </c>
      <c r="E29" s="5" t="s">
        <v>101</v>
      </c>
      <c r="F29" s="5" t="s">
        <v>102</v>
      </c>
      <c r="G29" s="5"/>
      <c r="H29" s="4"/>
      <c r="I29" s="5"/>
    </row>
    <row r="30" spans="1:9" x14ac:dyDescent="0.45">
      <c r="A30" s="4">
        <v>21</v>
      </c>
      <c r="B30" s="5" t="s">
        <v>94</v>
      </c>
      <c r="C30" s="5" t="s">
        <v>103</v>
      </c>
      <c r="D30" s="5" t="s">
        <v>104</v>
      </c>
      <c r="E30" s="5" t="s">
        <v>105</v>
      </c>
      <c r="F30" s="5" t="s">
        <v>106</v>
      </c>
      <c r="G30" s="5"/>
      <c r="H30" s="4"/>
      <c r="I30" s="5"/>
    </row>
    <row r="31" spans="1:9" x14ac:dyDescent="0.45">
      <c r="A31" s="4">
        <v>22</v>
      </c>
      <c r="B31" s="5" t="s">
        <v>94</v>
      </c>
      <c r="C31" s="5" t="s">
        <v>107</v>
      </c>
      <c r="D31" s="5" t="s">
        <v>104</v>
      </c>
      <c r="E31" s="5" t="s">
        <v>108</v>
      </c>
      <c r="F31" s="5" t="s">
        <v>109</v>
      </c>
      <c r="G31" s="5"/>
      <c r="H31" s="4"/>
      <c r="I31" s="5"/>
    </row>
    <row r="32" spans="1:9" x14ac:dyDescent="0.45">
      <c r="A32" s="4">
        <v>23</v>
      </c>
      <c r="B32" s="5" t="s">
        <v>94</v>
      </c>
      <c r="C32" s="5" t="s">
        <v>110</v>
      </c>
      <c r="D32" s="5" t="s">
        <v>100</v>
      </c>
      <c r="E32" s="5" t="s">
        <v>111</v>
      </c>
      <c r="F32" s="5" t="s">
        <v>112</v>
      </c>
      <c r="G32" s="5"/>
      <c r="H32" s="4"/>
      <c r="I32" s="5"/>
    </row>
    <row r="33" spans="1:9" ht="25.5" x14ac:dyDescent="0.45">
      <c r="A33" s="4">
        <v>24</v>
      </c>
      <c r="B33" s="5" t="s">
        <v>94</v>
      </c>
      <c r="C33" s="5" t="s">
        <v>113</v>
      </c>
      <c r="D33" s="5" t="s">
        <v>114</v>
      </c>
      <c r="E33" s="5" t="s">
        <v>115</v>
      </c>
      <c r="F33" s="5" t="s">
        <v>116</v>
      </c>
      <c r="G33" s="5"/>
      <c r="H33" s="4"/>
      <c r="I33" s="5"/>
    </row>
    <row r="34" spans="1:9" x14ac:dyDescent="0.45">
      <c r="A34" s="4">
        <v>25</v>
      </c>
      <c r="B34" s="5" t="s">
        <v>94</v>
      </c>
      <c r="C34" s="5" t="s">
        <v>117</v>
      </c>
      <c r="D34" s="5" t="s">
        <v>114</v>
      </c>
      <c r="E34" s="5" t="s">
        <v>118</v>
      </c>
      <c r="F34" s="5" t="s">
        <v>119</v>
      </c>
      <c r="G34" s="5"/>
      <c r="H34" s="4"/>
      <c r="I34" s="5"/>
    </row>
    <row r="35" spans="1:9" x14ac:dyDescent="0.45">
      <c r="A35" s="4">
        <v>26</v>
      </c>
      <c r="B35" s="5" t="s">
        <v>94</v>
      </c>
      <c r="C35" s="5" t="s">
        <v>120</v>
      </c>
      <c r="D35" s="5" t="s">
        <v>91</v>
      </c>
      <c r="E35" s="5" t="s">
        <v>121</v>
      </c>
      <c r="F35" s="5" t="s">
        <v>122</v>
      </c>
      <c r="G35" s="5"/>
      <c r="H35" s="4"/>
      <c r="I35" s="5"/>
    </row>
    <row r="36" spans="1:9" x14ac:dyDescent="0.45">
      <c r="A36" s="4">
        <v>27</v>
      </c>
      <c r="B36" s="5" t="s">
        <v>94</v>
      </c>
      <c r="C36" s="5" t="s">
        <v>123</v>
      </c>
      <c r="D36" s="5" t="s">
        <v>124</v>
      </c>
      <c r="E36" s="5" t="s">
        <v>125</v>
      </c>
      <c r="F36" s="5" t="s">
        <v>126</v>
      </c>
      <c r="G36" s="5"/>
      <c r="H36" s="4"/>
      <c r="I36" s="5"/>
    </row>
    <row r="37" spans="1:9" x14ac:dyDescent="0.45">
      <c r="A37" s="4">
        <v>28</v>
      </c>
      <c r="B37" s="5" t="s">
        <v>94</v>
      </c>
      <c r="C37" s="5" t="s">
        <v>127</v>
      </c>
      <c r="D37" s="5" t="s">
        <v>100</v>
      </c>
      <c r="E37" s="5" t="s">
        <v>128</v>
      </c>
      <c r="F37" s="5" t="s">
        <v>129</v>
      </c>
      <c r="G37" s="5"/>
      <c r="H37" s="4"/>
      <c r="I37" s="5"/>
    </row>
    <row r="38" spans="1:9" x14ac:dyDescent="0.45">
      <c r="A38" s="4">
        <v>29</v>
      </c>
      <c r="B38" s="5" t="s">
        <v>94</v>
      </c>
      <c r="C38" s="5" t="s">
        <v>130</v>
      </c>
      <c r="D38" s="5" t="s">
        <v>131</v>
      </c>
      <c r="E38" s="5" t="s">
        <v>132</v>
      </c>
      <c r="F38" s="5" t="s">
        <v>133</v>
      </c>
      <c r="G38" s="5"/>
      <c r="H38" s="4"/>
      <c r="I38" s="5"/>
    </row>
    <row r="39" spans="1:9" x14ac:dyDescent="0.45">
      <c r="A39" s="4">
        <v>30</v>
      </c>
      <c r="B39" s="5" t="s">
        <v>94</v>
      </c>
      <c r="C39" s="5" t="s">
        <v>134</v>
      </c>
      <c r="D39" s="5" t="s">
        <v>91</v>
      </c>
      <c r="E39" s="5" t="s">
        <v>135</v>
      </c>
      <c r="F39" s="5" t="s">
        <v>136</v>
      </c>
      <c r="G39" s="5"/>
      <c r="H39" s="4"/>
      <c r="I39" s="5"/>
    </row>
    <row r="40" spans="1:9" ht="25.5" x14ac:dyDescent="0.45">
      <c r="A40" s="4">
        <v>31</v>
      </c>
      <c r="B40" s="5" t="s">
        <v>137</v>
      </c>
      <c r="C40" s="5" t="s">
        <v>138</v>
      </c>
      <c r="D40" s="5" t="s">
        <v>139</v>
      </c>
      <c r="E40" s="5" t="s">
        <v>140</v>
      </c>
      <c r="F40" s="5" t="s">
        <v>141</v>
      </c>
      <c r="G40" s="5"/>
      <c r="H40" s="4"/>
      <c r="I40" s="5"/>
    </row>
    <row r="41" spans="1:9" x14ac:dyDescent="0.45">
      <c r="A41" s="4">
        <v>32</v>
      </c>
      <c r="B41" s="5" t="s">
        <v>137</v>
      </c>
      <c r="C41" s="5" t="s">
        <v>142</v>
      </c>
      <c r="D41" s="5" t="s">
        <v>91</v>
      </c>
      <c r="E41" s="5" t="s">
        <v>143</v>
      </c>
      <c r="F41" s="5" t="s">
        <v>144</v>
      </c>
      <c r="G41" s="5"/>
      <c r="H41" s="4"/>
      <c r="I41" s="5"/>
    </row>
    <row r="42" spans="1:9" x14ac:dyDescent="0.45">
      <c r="A42" s="4">
        <v>33</v>
      </c>
      <c r="B42" s="5" t="s">
        <v>137</v>
      </c>
      <c r="C42" s="5" t="s">
        <v>145</v>
      </c>
      <c r="D42" s="5" t="s">
        <v>146</v>
      </c>
      <c r="E42" s="5" t="s">
        <v>147</v>
      </c>
      <c r="F42" s="5" t="s">
        <v>148</v>
      </c>
      <c r="G42" s="5"/>
      <c r="H42" s="4"/>
      <c r="I42" s="5"/>
    </row>
    <row r="43" spans="1:9" x14ac:dyDescent="0.45">
      <c r="A43" s="4">
        <v>34</v>
      </c>
      <c r="B43" s="5" t="s">
        <v>137</v>
      </c>
      <c r="C43" s="5" t="s">
        <v>149</v>
      </c>
      <c r="D43" s="5" t="s">
        <v>150</v>
      </c>
      <c r="E43" s="5" t="s">
        <v>91</v>
      </c>
      <c r="F43" s="5" t="s">
        <v>151</v>
      </c>
      <c r="G43" s="5"/>
      <c r="H43" s="4"/>
      <c r="I43" s="5"/>
    </row>
    <row r="44" spans="1:9" x14ac:dyDescent="0.45">
      <c r="A44" s="4">
        <v>35</v>
      </c>
      <c r="B44" s="5" t="s">
        <v>152</v>
      </c>
      <c r="C44" s="5" t="s">
        <v>153</v>
      </c>
      <c r="D44" s="5" t="s">
        <v>154</v>
      </c>
      <c r="E44" s="5" t="s">
        <v>155</v>
      </c>
      <c r="F44" s="5" t="s">
        <v>156</v>
      </c>
      <c r="G44" s="5"/>
      <c r="H44" s="4"/>
      <c r="I44" s="5"/>
    </row>
    <row r="45" spans="1:9" x14ac:dyDescent="0.45">
      <c r="A45" s="4">
        <v>36</v>
      </c>
      <c r="B45" s="5" t="s">
        <v>152</v>
      </c>
      <c r="C45" s="5" t="s">
        <v>157</v>
      </c>
      <c r="D45" s="5" t="s">
        <v>158</v>
      </c>
      <c r="E45" s="5" t="s">
        <v>159</v>
      </c>
      <c r="F45" s="5" t="s">
        <v>160</v>
      </c>
      <c r="G45" s="5"/>
      <c r="H45" s="4"/>
      <c r="I45" s="5"/>
    </row>
    <row r="46" spans="1:9" x14ac:dyDescent="0.45">
      <c r="A46" s="4">
        <v>37</v>
      </c>
      <c r="B46" s="5" t="s">
        <v>152</v>
      </c>
      <c r="C46" s="5" t="s">
        <v>161</v>
      </c>
      <c r="D46" s="5" t="s">
        <v>162</v>
      </c>
      <c r="E46" s="5" t="s">
        <v>163</v>
      </c>
      <c r="F46" s="5" t="s">
        <v>164</v>
      </c>
      <c r="G46" s="5"/>
      <c r="H46" s="4"/>
      <c r="I46" s="5"/>
    </row>
    <row r="47" spans="1:9" x14ac:dyDescent="0.45">
      <c r="A47" s="4">
        <v>38</v>
      </c>
      <c r="B47" s="5" t="s">
        <v>152</v>
      </c>
      <c r="C47" s="5" t="s">
        <v>165</v>
      </c>
      <c r="D47" s="5" t="s">
        <v>154</v>
      </c>
      <c r="E47" s="5" t="s">
        <v>166</v>
      </c>
      <c r="F47" s="5" t="s">
        <v>167</v>
      </c>
      <c r="G47" s="5"/>
      <c r="H47" s="4"/>
      <c r="I47" s="5"/>
    </row>
    <row r="48" spans="1:9" x14ac:dyDescent="0.45">
      <c r="A48" s="4">
        <v>39</v>
      </c>
      <c r="B48" s="5" t="s">
        <v>152</v>
      </c>
      <c r="C48" s="5" t="s">
        <v>168</v>
      </c>
      <c r="D48" s="5" t="s">
        <v>154</v>
      </c>
      <c r="E48" s="5" t="s">
        <v>169</v>
      </c>
      <c r="F48" s="5" t="s">
        <v>170</v>
      </c>
      <c r="G48" s="5"/>
      <c r="H48" s="4"/>
      <c r="I48" s="5"/>
    </row>
    <row r="49" spans="1:9" x14ac:dyDescent="0.45">
      <c r="A49" s="4">
        <v>40</v>
      </c>
      <c r="B49" s="5" t="s">
        <v>152</v>
      </c>
      <c r="C49" s="5" t="s">
        <v>171</v>
      </c>
      <c r="D49" s="5" t="s">
        <v>172</v>
      </c>
      <c r="E49" s="5" t="s">
        <v>173</v>
      </c>
      <c r="F49" s="5" t="s">
        <v>174</v>
      </c>
      <c r="G49" s="5"/>
      <c r="H49" s="4"/>
      <c r="I49" s="5"/>
    </row>
    <row r="50" spans="1:9" x14ac:dyDescent="0.45">
      <c r="A50" s="4">
        <v>41</v>
      </c>
      <c r="B50" s="5" t="s">
        <v>152</v>
      </c>
      <c r="C50" s="5" t="s">
        <v>175</v>
      </c>
      <c r="D50" s="5" t="s">
        <v>154</v>
      </c>
      <c r="E50" s="5" t="s">
        <v>176</v>
      </c>
      <c r="F50" s="5" t="s">
        <v>177</v>
      </c>
      <c r="G50" s="5"/>
      <c r="H50" s="4"/>
      <c r="I50" s="5"/>
    </row>
    <row r="51" spans="1:9" ht="25.5" x14ac:dyDescent="0.45">
      <c r="A51" s="4">
        <v>42</v>
      </c>
      <c r="B51" s="5" t="s">
        <v>152</v>
      </c>
      <c r="C51" s="5" t="s">
        <v>178</v>
      </c>
      <c r="D51" s="5" t="s">
        <v>158</v>
      </c>
      <c r="E51" s="5" t="s">
        <v>179</v>
      </c>
      <c r="F51" s="5" t="s">
        <v>180</v>
      </c>
      <c r="G51" s="5"/>
      <c r="H51" s="4"/>
      <c r="I51" s="5"/>
    </row>
    <row r="52" spans="1:9" x14ac:dyDescent="0.45">
      <c r="A52" s="4">
        <v>43</v>
      </c>
      <c r="B52" s="5" t="s">
        <v>152</v>
      </c>
      <c r="C52" s="5" t="s">
        <v>181</v>
      </c>
      <c r="D52" s="5" t="s">
        <v>154</v>
      </c>
      <c r="E52" s="5" t="s">
        <v>182</v>
      </c>
      <c r="F52" s="5" t="s">
        <v>183</v>
      </c>
      <c r="G52" s="5"/>
      <c r="H52" s="4"/>
      <c r="I52" s="5"/>
    </row>
    <row r="53" spans="1:9" ht="25.5" x14ac:dyDescent="0.45">
      <c r="A53" s="4">
        <v>44</v>
      </c>
      <c r="B53" s="5" t="s">
        <v>152</v>
      </c>
      <c r="C53" s="5" t="s">
        <v>184</v>
      </c>
      <c r="D53" s="5" t="s">
        <v>131</v>
      </c>
      <c r="E53" s="5" t="s">
        <v>185</v>
      </c>
      <c r="F53" s="5" t="s">
        <v>186</v>
      </c>
      <c r="G53" s="5"/>
      <c r="H53" s="4"/>
      <c r="I53" s="5"/>
    </row>
    <row r="54" spans="1:9" ht="25.5" x14ac:dyDescent="0.45">
      <c r="A54" s="4">
        <v>45</v>
      </c>
      <c r="B54" s="5" t="s">
        <v>187</v>
      </c>
      <c r="C54" s="5" t="s">
        <v>188</v>
      </c>
      <c r="D54" s="5" t="s">
        <v>74</v>
      </c>
      <c r="E54" s="5" t="s">
        <v>189</v>
      </c>
      <c r="F54" s="5" t="s">
        <v>190</v>
      </c>
      <c r="G54" s="5"/>
      <c r="H54" s="4"/>
      <c r="I54" s="5"/>
    </row>
    <row r="55" spans="1:9" x14ac:dyDescent="0.45">
      <c r="A55" s="4">
        <v>46</v>
      </c>
      <c r="B55" s="5" t="s">
        <v>187</v>
      </c>
      <c r="C55" s="5" t="s">
        <v>191</v>
      </c>
      <c r="D55" s="5" t="s">
        <v>131</v>
      </c>
      <c r="E55" s="5" t="s">
        <v>192</v>
      </c>
      <c r="F55" s="5" t="s">
        <v>193</v>
      </c>
      <c r="G55" s="5"/>
      <c r="H55" s="4"/>
      <c r="I55" s="5"/>
    </row>
    <row r="56" spans="1:9" x14ac:dyDescent="0.45">
      <c r="A56" s="4">
        <v>47</v>
      </c>
      <c r="B56" s="5" t="s">
        <v>194</v>
      </c>
      <c r="C56" s="5" t="s">
        <v>195</v>
      </c>
      <c r="D56" s="5" t="s">
        <v>74</v>
      </c>
      <c r="E56" s="5" t="s">
        <v>196</v>
      </c>
      <c r="F56" s="5" t="s">
        <v>197</v>
      </c>
      <c r="G56" s="5"/>
      <c r="H56" s="4"/>
      <c r="I56" s="5"/>
    </row>
    <row r="57" spans="1:9" x14ac:dyDescent="0.45">
      <c r="A57" s="4">
        <v>48</v>
      </c>
      <c r="B57" s="5" t="s">
        <v>194</v>
      </c>
      <c r="C57" s="5" t="s">
        <v>198</v>
      </c>
      <c r="D57" s="5" t="s">
        <v>91</v>
      </c>
      <c r="E57" s="5" t="s">
        <v>199</v>
      </c>
      <c r="F57" s="5" t="s">
        <v>200</v>
      </c>
      <c r="G57" s="5"/>
      <c r="H57" s="4"/>
      <c r="I57" s="5"/>
    </row>
    <row r="58" spans="1:9" x14ac:dyDescent="0.45">
      <c r="A58" s="4">
        <v>49</v>
      </c>
      <c r="B58" s="5" t="s">
        <v>194</v>
      </c>
      <c r="C58" s="5" t="s">
        <v>201</v>
      </c>
      <c r="D58" s="5" t="s">
        <v>104</v>
      </c>
      <c r="E58" s="5" t="s">
        <v>202</v>
      </c>
      <c r="F58" s="5" t="s">
        <v>203</v>
      </c>
      <c r="G58" s="5"/>
      <c r="H58" s="4"/>
      <c r="I58" s="5"/>
    </row>
    <row r="59" spans="1:9" ht="25.5" x14ac:dyDescent="0.45">
      <c r="A59" s="4">
        <v>50</v>
      </c>
      <c r="B59" s="5" t="s">
        <v>204</v>
      </c>
      <c r="C59" s="5" t="s">
        <v>205</v>
      </c>
      <c r="D59" s="5" t="s">
        <v>206</v>
      </c>
      <c r="E59" s="5" t="s">
        <v>207</v>
      </c>
      <c r="F59" s="5" t="s">
        <v>208</v>
      </c>
      <c r="G59" s="5"/>
      <c r="H59" s="4"/>
      <c r="I59" s="5"/>
    </row>
    <row r="61" spans="1:9" x14ac:dyDescent="0.45">
      <c r="A61" s="6"/>
    </row>
    <row r="63" spans="1:9" x14ac:dyDescent="0.45">
      <c r="B63" s="3"/>
    </row>
    <row r="65" spans="2:2" x14ac:dyDescent="0.45">
      <c r="B65" s="3"/>
    </row>
  </sheetData>
  <autoFilter ref="A9:I59" xr:uid="{00000000-0009-0000-0000-000000000000}"/>
  <dataValidations count="1">
    <dataValidation type="list" allowBlank="1" sqref="H10:H59" xr:uid="{00000000-0002-0000-0000-000000000000}">
      <formula1>"Pass,Fail,N/A"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headerFooter>
    <oddHeader>&amp;L&amp;"Aptos"&amp;13&amp;K000000 •• PROTECTED&amp;1#_x000D_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Normal="100" workbookViewId="0"/>
  </sheetViews>
  <sheetFormatPr defaultColWidth="8.6640625" defaultRowHeight="14.25" x14ac:dyDescent="0.45"/>
  <cols>
    <col min="1" max="1" width="30" customWidth="1"/>
    <col min="2" max="6" width="12" customWidth="1"/>
  </cols>
  <sheetData>
    <row r="1" spans="1:6" ht="15.4" x14ac:dyDescent="0.45">
      <c r="A1" s="7" t="s">
        <v>209</v>
      </c>
    </row>
    <row r="3" spans="1:6" x14ac:dyDescent="0.45">
      <c r="A3" s="8" t="s">
        <v>10</v>
      </c>
      <c r="B3" s="8" t="s">
        <v>210</v>
      </c>
      <c r="C3" s="8" t="s">
        <v>211</v>
      </c>
      <c r="D3" s="8" t="s">
        <v>212</v>
      </c>
      <c r="E3" s="8" t="s">
        <v>213</v>
      </c>
      <c r="F3" s="8" t="s">
        <v>214</v>
      </c>
    </row>
    <row r="4" spans="1:6" x14ac:dyDescent="0.45">
      <c r="A4" s="9" t="s">
        <v>18</v>
      </c>
      <c r="B4" s="10">
        <f>COUNTIF('Test Scenario'!$B$10:$B$59,A4)</f>
        <v>4</v>
      </c>
      <c r="C4" s="10">
        <f>COUNTIFS('Test Scenario'!$B$10:$B$59,A4,'Test Scenario'!$H$10:$H$59,"Pass")</f>
        <v>0</v>
      </c>
      <c r="D4" s="10">
        <f>COUNTIFS('Test Scenario'!$B$10:$B$59,A4,'Test Scenario'!$H$10:$H$59,"Fail")</f>
        <v>0</v>
      </c>
      <c r="E4" s="10">
        <f>COUNTIFS('Test Scenario'!$B$10:$B$59,A4,'Test Scenario'!$H$10:$H$59,"N/A")</f>
        <v>0</v>
      </c>
      <c r="F4" s="10">
        <f t="shared" ref="F4:F13" si="0">B4-C4-D4-E4</f>
        <v>4</v>
      </c>
    </row>
    <row r="5" spans="1:6" x14ac:dyDescent="0.45">
      <c r="A5" s="9" t="s">
        <v>35</v>
      </c>
      <c r="B5" s="10">
        <f>COUNTIF('Test Scenario'!$B$10:$B$59,A5)</f>
        <v>7</v>
      </c>
      <c r="C5" s="10">
        <f>COUNTIFS('Test Scenario'!$B$10:$B$59,A5,'Test Scenario'!$H$10:$H$59,"Pass")</f>
        <v>0</v>
      </c>
      <c r="D5" s="10">
        <f>COUNTIFS('Test Scenario'!$B$10:$B$59,A5,'Test Scenario'!$H$10:$H$59,"Fail")</f>
        <v>0</v>
      </c>
      <c r="E5" s="10">
        <f>COUNTIFS('Test Scenario'!$B$10:$B$59,A5,'Test Scenario'!$H$10:$H$59,"N/A")</f>
        <v>0</v>
      </c>
      <c r="F5" s="10">
        <f t="shared" si="0"/>
        <v>7</v>
      </c>
    </row>
    <row r="6" spans="1:6" x14ac:dyDescent="0.45">
      <c r="A6" s="9" t="s">
        <v>64</v>
      </c>
      <c r="B6" s="10">
        <f>COUNTIF('Test Scenario'!$B$10:$B$59,A6)</f>
        <v>3</v>
      </c>
      <c r="C6" s="10">
        <f>COUNTIFS('Test Scenario'!$B$10:$B$59,A6,'Test Scenario'!$H$10:$H$59,"Pass")</f>
        <v>0</v>
      </c>
      <c r="D6" s="10">
        <f>COUNTIFS('Test Scenario'!$B$10:$B$59,A6,'Test Scenario'!$H$10:$H$59,"Fail")</f>
        <v>0</v>
      </c>
      <c r="E6" s="10">
        <f>COUNTIFS('Test Scenario'!$B$10:$B$59,A6,'Test Scenario'!$H$10:$H$59,"N/A")</f>
        <v>0</v>
      </c>
      <c r="F6" s="10">
        <f t="shared" si="0"/>
        <v>3</v>
      </c>
    </row>
    <row r="7" spans="1:6" x14ac:dyDescent="0.45">
      <c r="A7" s="9" t="s">
        <v>77</v>
      </c>
      <c r="B7" s="10">
        <f>COUNTIF('Test Scenario'!$B$10:$B$59,A7)</f>
        <v>4</v>
      </c>
      <c r="C7" s="10">
        <f>COUNTIFS('Test Scenario'!$B$10:$B$59,A7,'Test Scenario'!$H$10:$H$59,"Pass")</f>
        <v>0</v>
      </c>
      <c r="D7" s="10">
        <f>COUNTIFS('Test Scenario'!$B$10:$B$59,A7,'Test Scenario'!$H$10:$H$59,"Fail")</f>
        <v>0</v>
      </c>
      <c r="E7" s="10">
        <f>COUNTIFS('Test Scenario'!$B$10:$B$59,A7,'Test Scenario'!$H$10:$H$59,"N/A")</f>
        <v>0</v>
      </c>
      <c r="F7" s="10">
        <f t="shared" si="0"/>
        <v>4</v>
      </c>
    </row>
    <row r="8" spans="1:6" x14ac:dyDescent="0.45">
      <c r="A8" s="9" t="s">
        <v>94</v>
      </c>
      <c r="B8" s="10">
        <f>COUNTIF('Test Scenario'!$B$10:$B$59,A8)</f>
        <v>12</v>
      </c>
      <c r="C8" s="10">
        <f>COUNTIFS('Test Scenario'!$B$10:$B$59,A8,'Test Scenario'!$H$10:$H$59,"Pass")</f>
        <v>0</v>
      </c>
      <c r="D8" s="10">
        <f>COUNTIFS('Test Scenario'!$B$10:$B$59,A8,'Test Scenario'!$H$10:$H$59,"Fail")</f>
        <v>0</v>
      </c>
      <c r="E8" s="10">
        <f>COUNTIFS('Test Scenario'!$B$10:$B$59,A8,'Test Scenario'!$H$10:$H$59,"N/A")</f>
        <v>0</v>
      </c>
      <c r="F8" s="10">
        <f t="shared" si="0"/>
        <v>12</v>
      </c>
    </row>
    <row r="9" spans="1:6" x14ac:dyDescent="0.45">
      <c r="A9" s="9" t="s">
        <v>137</v>
      </c>
      <c r="B9" s="10">
        <f>COUNTIF('Test Scenario'!$B$10:$B$59,A9)</f>
        <v>4</v>
      </c>
      <c r="C9" s="10">
        <f>COUNTIFS('Test Scenario'!$B$10:$B$59,A9,'Test Scenario'!$H$10:$H$59,"Pass")</f>
        <v>0</v>
      </c>
      <c r="D9" s="10">
        <f>COUNTIFS('Test Scenario'!$B$10:$B$59,A9,'Test Scenario'!$H$10:$H$59,"Fail")</f>
        <v>0</v>
      </c>
      <c r="E9" s="10">
        <f>COUNTIFS('Test Scenario'!$B$10:$B$59,A9,'Test Scenario'!$H$10:$H$59,"N/A")</f>
        <v>0</v>
      </c>
      <c r="F9" s="10">
        <f t="shared" si="0"/>
        <v>4</v>
      </c>
    </row>
    <row r="10" spans="1:6" x14ac:dyDescent="0.45">
      <c r="A10" s="9" t="s">
        <v>152</v>
      </c>
      <c r="B10" s="10">
        <f>COUNTIF('Test Scenario'!$B$10:$B$59,A10)</f>
        <v>10</v>
      </c>
      <c r="C10" s="10">
        <f>COUNTIFS('Test Scenario'!$B$10:$B$59,A10,'Test Scenario'!$H$10:$H$59,"Pass")</f>
        <v>0</v>
      </c>
      <c r="D10" s="10">
        <f>COUNTIFS('Test Scenario'!$B$10:$B$59,A10,'Test Scenario'!$H$10:$H$59,"Fail")</f>
        <v>0</v>
      </c>
      <c r="E10" s="10">
        <f>COUNTIFS('Test Scenario'!$B$10:$B$59,A10,'Test Scenario'!$H$10:$H$59,"N/A")</f>
        <v>0</v>
      </c>
      <c r="F10" s="10">
        <f t="shared" si="0"/>
        <v>10</v>
      </c>
    </row>
    <row r="11" spans="1:6" x14ac:dyDescent="0.45">
      <c r="A11" s="9" t="s">
        <v>187</v>
      </c>
      <c r="B11" s="10">
        <f>COUNTIF('Test Scenario'!$B$10:$B$59,A11)</f>
        <v>2</v>
      </c>
      <c r="C11" s="10">
        <f>COUNTIFS('Test Scenario'!$B$10:$B$59,A11,'Test Scenario'!$H$10:$H$59,"Pass")</f>
        <v>0</v>
      </c>
      <c r="D11" s="10">
        <f>COUNTIFS('Test Scenario'!$B$10:$B$59,A11,'Test Scenario'!$H$10:$H$59,"Fail")</f>
        <v>0</v>
      </c>
      <c r="E11" s="10">
        <f>COUNTIFS('Test Scenario'!$B$10:$B$59,A11,'Test Scenario'!$H$10:$H$59,"N/A")</f>
        <v>0</v>
      </c>
      <c r="F11" s="10">
        <f t="shared" si="0"/>
        <v>2</v>
      </c>
    </row>
    <row r="12" spans="1:6" x14ac:dyDescent="0.45">
      <c r="A12" s="9" t="s">
        <v>194</v>
      </c>
      <c r="B12" s="10">
        <f>COUNTIF('Test Scenario'!$B$10:$B$59,A12)</f>
        <v>3</v>
      </c>
      <c r="C12" s="10">
        <f>COUNTIFS('Test Scenario'!$B$10:$B$59,A12,'Test Scenario'!$H$10:$H$59,"Pass")</f>
        <v>0</v>
      </c>
      <c r="D12" s="10">
        <f>COUNTIFS('Test Scenario'!$B$10:$B$59,A12,'Test Scenario'!$H$10:$H$59,"Fail")</f>
        <v>0</v>
      </c>
      <c r="E12" s="10">
        <f>COUNTIFS('Test Scenario'!$B$10:$B$59,A12,'Test Scenario'!$H$10:$H$59,"N/A")</f>
        <v>0</v>
      </c>
      <c r="F12" s="10">
        <f t="shared" si="0"/>
        <v>3</v>
      </c>
    </row>
    <row r="13" spans="1:6" x14ac:dyDescent="0.45">
      <c r="A13" s="9" t="s">
        <v>204</v>
      </c>
      <c r="B13" s="10">
        <f>COUNTIF('Test Scenario'!$B$10:$B$59,A13)</f>
        <v>1</v>
      </c>
      <c r="C13" s="10">
        <f>COUNTIFS('Test Scenario'!$B$10:$B$59,A13,'Test Scenario'!$H$10:$H$59,"Pass")</f>
        <v>0</v>
      </c>
      <c r="D13" s="10">
        <f>COUNTIFS('Test Scenario'!$B$10:$B$59,A13,'Test Scenario'!$H$10:$H$59,"Fail")</f>
        <v>0</v>
      </c>
      <c r="E13" s="10">
        <f>COUNTIFS('Test Scenario'!$B$10:$B$59,A13,'Test Scenario'!$H$10:$H$59,"N/A")</f>
        <v>0</v>
      </c>
      <c r="F13" s="10">
        <f t="shared" si="0"/>
        <v>1</v>
      </c>
    </row>
    <row r="14" spans="1:6" x14ac:dyDescent="0.45">
      <c r="A14" s="11" t="s">
        <v>215</v>
      </c>
      <c r="B14" s="12">
        <f>SUM(B4:B13)</f>
        <v>50</v>
      </c>
      <c r="C14" s="12">
        <f>SUM(C4:C13)</f>
        <v>0</v>
      </c>
      <c r="D14" s="12">
        <f>SUM(D4:D13)</f>
        <v>0</v>
      </c>
      <c r="E14" s="12">
        <f>SUM(E4:E13)</f>
        <v>0</v>
      </c>
      <c r="F14" s="12">
        <f>SUM(F4:F13)</f>
        <v>50</v>
      </c>
    </row>
    <row r="15" spans="1:6" x14ac:dyDescent="0.45">
      <c r="A15" s="11" t="s">
        <v>216</v>
      </c>
      <c r="B15" s="12"/>
      <c r="C15" s="13" t="str">
        <f>IF(B14-F14-E14=0,"-",C14/(B14-F14-E14))</f>
        <v>-</v>
      </c>
      <c r="D15" s="12"/>
      <c r="E15" s="12"/>
      <c r="F15" s="12"/>
    </row>
  </sheetData>
  <pageMargins left="0.75" right="0.75" top="1" bottom="1" header="0.511811023622047" footer="0.511811023622047"/>
  <pageSetup paperSize="9" orientation="portrait" horizontalDpi="300" verticalDpi="300"/>
  <headerFooter>
    <oddHeader>&amp;L&amp;"Aptos"&amp;13&amp;K000000 •• PROTECTED&amp;1#_x000D_</oddHeader>
  </headerFooter>
</worksheet>
</file>

<file path=docMetadata/LabelInfo.xml><?xml version="1.0" encoding="utf-8"?>
<clbl:labelList xmlns:clbl="http://schemas.microsoft.com/office/2020/mipLabelMetadata">
  <clbl:label id="{a280e33f-51f9-4eb7-bf6f-a0cb413b4c8b}" enabled="1" method="Standard" siteId="{d9cd485e-39bd-4cc9-9539-8c97631fbb7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 Scenario</vt:lpstr>
      <vt:lpstr>Summary</vt:lpstr>
      <vt:lpstr>'Test Scenario'!Print_Titles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Pongsatorn Termtachatipongsa (TMA)</cp:lastModifiedBy>
  <cp:revision>0</cp:revision>
  <dcterms:created xsi:type="dcterms:W3CDTF">2026-10-02T12:35:24Z</dcterms:created>
  <dcterms:modified xsi:type="dcterms:W3CDTF">2026-10-02T12:44:26Z</dcterms:modified>
  <dc:language>en-US</dc:language>
</cp:coreProperties>
</file>