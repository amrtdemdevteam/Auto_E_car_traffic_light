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PCAP_TRAFFIC_LIGHT\AutoEcar_git\docs\test_scenario\"/>
    </mc:Choice>
  </mc:AlternateContent>
  <xr:revisionPtr revIDLastSave="0" documentId="13_ncr:1_{F8207979-1749-47FD-AB34-3478CA36CC9E}" xr6:coauthVersionLast="47" xr6:coauthVersionMax="47" xr10:uidLastSave="{00000000-0000-0000-0000-000000000000}"/>
  <bookViews>
    <workbookView xWindow="-98" yWindow="-98" windowWidth="24196" windowHeight="14476" tabRatio="500" xr2:uid="{00000000-000D-0000-FFFF-FFFF00000000}"/>
  </bookViews>
  <sheets>
    <sheet name="Test Scenario" sheetId="1" r:id="rId1"/>
    <sheet name="Summary" sheetId="2" r:id="rId2"/>
  </sheets>
  <definedNames>
    <definedName name="_xlnm._FilterDatabase" localSheetId="0" hidden="1">'Test Scenario'!$A$9:$I$40</definedName>
    <definedName name="_xlnm.Print_Titles" localSheetId="0">'Test Scenario'!$9:$9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" l="1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F7" i="2" s="1"/>
  <c r="B7" i="2"/>
  <c r="E6" i="2"/>
  <c r="D6" i="2"/>
  <c r="C6" i="2"/>
  <c r="B6" i="2"/>
  <c r="E5" i="2"/>
  <c r="D5" i="2"/>
  <c r="C5" i="2"/>
  <c r="B5" i="2"/>
  <c r="E4" i="2"/>
  <c r="D4" i="2"/>
  <c r="C4" i="2"/>
  <c r="C12" i="2" s="1"/>
  <c r="B4" i="2"/>
  <c r="F11" i="2" l="1"/>
  <c r="F10" i="2"/>
  <c r="F8" i="2"/>
  <c r="F5" i="2"/>
  <c r="E12" i="2"/>
  <c r="F9" i="2"/>
  <c r="F6" i="2"/>
  <c r="D12" i="2"/>
  <c r="B12" i="2"/>
  <c r="F4" i="2"/>
  <c r="F12" i="2" l="1"/>
  <c r="C13" i="2"/>
</calcChain>
</file>

<file path=xl/sharedStrings.xml><?xml version="1.0" encoding="utf-8"?>
<sst xmlns="http://schemas.openxmlformats.org/spreadsheetml/2006/main" count="250" uniqueCount="171">
  <si>
    <t>Test Scenario — E-Car Traffic Light (POC / V1)</t>
  </si>
  <si>
    <t>โปรเจกต์</t>
  </si>
  <si>
    <t>E-Car Traffic Light แยก J1</t>
  </si>
  <si>
    <t>เวอร์ชัน</t>
  </si>
  <si>
    <t>POC V1 (v1.0.4-field / v1.1)</t>
  </si>
  <si>
    <t>อุปกรณ์</t>
  </si>
  <si>
    <t>Raspberry Pi 4, TF-Mini Plus ×4 (S1–S4), จอ ESP32-S3 + P5 64×32 ×3 (D1–D3)</t>
  </si>
  <si>
    <t>สถานที่</t>
  </si>
  <si>
    <t>หน้างานแยก J1</t>
  </si>
  <si>
    <t>วันที่ทดสอบ</t>
  </si>
  <si>
    <t>04/09/2026</t>
  </si>
  <si>
    <t>หมวด</t>
  </si>
  <si>
    <t>หัวข้อทดสอบ</t>
  </si>
  <si>
    <t>เงื่อนไขก่อนทดสอบ</t>
  </si>
  <si>
    <t>ขั้นตอนทดสอบ</t>
  </si>
  <si>
    <t>ผลที่คาดหวัง</t>
  </si>
  <si>
    <t>ผลที่ได้จริง</t>
  </si>
  <si>
    <t>ผล</t>
  </si>
  <si>
    <t>หมายเหตุ</t>
  </si>
  <si>
    <t>ติดตั้งระบบ</t>
  </si>
  <si>
    <t>ติดตั้งโปรแกรมบน Raspberry Pi</t>
  </si>
  <si>
    <t>Pi 4 ลง Raspberry Pi OS Bookworm, ต่อเน็ต</t>
  </si>
  <si>
    <t>sudo ./install.sh</t>
  </si>
  <si>
    <t>ติดตั้งครบ ไม่มี error, unit test ผ่าน, บริการ mosquitto ทำงาน</t>
  </si>
  <si>
    <t>Pass</t>
  </si>
  <si>
    <t>ตรวจความพร้อมก่อนเทส (preflight)</t>
  </si>
  <si>
    <t>ติดตั้งเสร็จ, ต่อเซนเซอร์และจอครบ</t>
  </si>
  <si>
    <t>รัน friday_preflight.sh</t>
  </si>
  <si>
    <t>FAIL=0</t>
  </si>
  <si>
    <t>ผูกพอร์ตเซนเซอร์ S1–S4</t>
  </si>
  <si>
    <t>ต่อ USB-RS485 ครบ 4 ตัว</t>
  </si>
  <si>
    <t>รัน USB mapping wizard แล้วเช็ค /dev/traffic-S1..S4</t>
  </si>
  <si>
    <t>มี /dev/traffic-S1..S4 ครบ, บริการ trafficlight เปิดเอง</t>
  </si>
  <si>
    <t>เครือข่าย/MQTT</t>
  </si>
  <si>
    <t>IP ของ Pi ฝั่งจอ</t>
  </si>
  <si>
    <t>สาย LAN Pi → switch</t>
  </si>
  <si>
    <t>ip -br addr</t>
  </si>
  <si>
    <t>eth0 = 10.77.0.1/24</t>
  </si>
  <si>
    <t>จอได้ IP และต่อ MQTT ได้</t>
  </si>
  <si>
    <t>แฟลชจอ D1–D3 แล้ว, ต่อ switch</t>
  </si>
  <si>
    <t>ping 10.77.0.11–13, ดู mosquitto_sub</t>
  </si>
  <si>
    <t>ping ได้ทุกจอ, จอส่ง status online</t>
  </si>
  <si>
    <t>Mosquitto ขึ้นหลังบูต</t>
  </si>
  <si>
    <t>eth0 ได้ IP ช้ากว่าปกติ</t>
  </si>
  <si>
    <t>รีบูต Pi แล้วเช็ค systemctl is-active mosquitto</t>
  </si>
  <si>
    <t>mosquitto active ฟังที่ 10.77.0.1:1883</t>
  </si>
  <si>
    <t>active</t>
  </si>
  <si>
    <t>จอแสดงผล</t>
  </si>
  <si>
    <t>จอแสดง GO</t>
  </si>
  <si>
    <t>จอออนไลน์</t>
  </si>
  <si>
    <t>รัน display_test.sh ขั้น GO</t>
  </si>
  <si>
    <t>ทุกจอเป็นลูกศรเขียวพร้อมกัน</t>
  </si>
  <si>
    <t>จอแสดง CAUTION</t>
  </si>
  <si>
    <t>display_test.sh ขั้น CAUTION</t>
  </si>
  <si>
    <t>ทุกจอเป็นสามเหลี่ยมเหลือง</t>
  </si>
  <si>
    <t>ตามคาด</t>
  </si>
  <si>
    <t>จอแสดง STOP</t>
  </si>
  <si>
    <t>display_test.sh ขั้น STOP</t>
  </si>
  <si>
    <t>ทุกจอเป็น X แดง</t>
  </si>
  <si>
    <t>คำสั่งไม่ครบ/ไม่รู้จัก ต้องไม่เขียว</t>
  </si>
  <si>
    <t>ส่ง MQTT ที่ไม่มี field สี</t>
  </si>
  <si>
    <t>จอไม่แสดงเขียว (ขึ้นสามเหลี่ยมเหลือง)</t>
  </si>
  <si>
    <t>ขึ้นเหลือง ไม่เขียว</t>
  </si>
  <si>
    <t>การมองเห็นหน้างาน</t>
  </si>
  <si>
    <t>ติดจอตำแหน่งจริง</t>
  </si>
  <si>
    <t>มองจากระยะคนขับ</t>
  </si>
  <si>
    <t>ความสว่าง 60 มองเห็นชัด ไม่แสบตา</t>
  </si>
  <si>
    <t>มองเห็นชัด</t>
  </si>
  <si>
    <t>เซนเซอร์</t>
  </si>
  <si>
    <t>S1–S4 อ่านค่าถูกตัว</t>
  </si>
  <si>
    <t>บริการ trafficlight ทำงาน</t>
  </si>
  <si>
    <t>เอาวัตถุบังทีละตัว ดู journalctl</t>
  </si>
  <si>
    <t>log ขึ้นชื่อเซนเซอร์ถูกตัว มีระยะ/strength ไม่มี offline</t>
  </si>
  <si>
    <t>ถูกตัวครบ 4 ตัว</t>
  </si>
  <si>
    <t>ช่วงตรวจจับ 30–250 cm, strength ≥ 100</t>
  </si>
  <si>
    <t>—</t>
  </si>
  <si>
    <t>บังที่ระยะนอกช่วง และวัตถุสะท้อนต่ำ</t>
  </si>
  <si>
    <t>นอกช่วง/สัญญาณอ่อน ไม่นับเป็นมีรถ</t>
  </si>
  <si>
    <t>ไม่นับ ตามคาด</t>
  </si>
  <si>
    <t>ลอจิกไฟ</t>
  </si>
  <si>
    <t>รถเข้า S4 → S3 ภายใน 5 s</t>
  </si>
  <si>
    <t>สถานะเขียว</t>
  </si>
  <si>
    <t>วิ่งผ่าน S4 แล้ว S3</t>
  </si>
  <si>
    <t>ทุกจอเหลือง</t>
  </si>
  <si>
    <t>เหลือง</t>
  </si>
  <si>
    <t>S4 ตัวเดียวไม่ทำให้เหลือง</t>
  </si>
  <si>
    <t>บัง S4 อย่างเดียวแล้วถอย</t>
  </si>
  <si>
    <t>ยังเขียว</t>
  </si>
  <si>
    <t>รถถึง S2 → S1</t>
  </si>
  <si>
    <t>สถานะเหลือง</t>
  </si>
  <si>
    <t>วิ่งต่อผ่าน S2 แล้ว S1</t>
  </si>
  <si>
    <t>ทุกจอแดงทันที</t>
  </si>
  <si>
    <t>แดงทันที</t>
  </si>
  <si>
    <t>แดงค้างตลอดที่ S1 ยังมีรถ</t>
  </si>
  <si>
    <t>สถานะแดง</t>
  </si>
  <si>
    <t>จอดค้างที่ S1 นานกว่า 5 s</t>
  </si>
  <si>
    <t>ยังแดง ไม่หมดเวลาเอง</t>
  </si>
  <si>
    <t>ค้างแดงจนรถออก</t>
  </si>
  <si>
    <t>S1 ว่าง → เหลืองกลับ 5 s</t>
  </si>
  <si>
    <t>รถออกจาก S1</t>
  </si>
  <si>
    <t>S1 ว่างครบ 1 s แล้วเหลือง 5 s</t>
  </si>
  <si>
    <t>กลับเป็นเขียวหลังขบวนพ้น</t>
  </si>
  <si>
    <t>จบเหลืองกลับ</t>
  </si>
  <si>
    <t>ไม่มีรถค้าง</t>
  </si>
  <si>
    <t>เขียว</t>
  </si>
  <si>
    <t>ขบวนเหลืองยังอยู่หลังเหลืองกลับ</t>
  </si>
  <si>
    <t>มีรถอีกขบวนผ่าน S4→S3</t>
  </si>
  <si>
    <t>ปล่อยขบวนที่ 2 ระหว่างเหลืองกลับ</t>
  </si>
  <si>
    <t>เหลืองต่อ ไม่กะพริบเขียว</t>
  </si>
  <si>
    <t>เหลืองต่อเนื่อง</t>
  </si>
  <si>
    <t>ทิศกลับ S3 → S4</t>
  </si>
  <si>
    <t>บัง S3 ก่อน S4</t>
  </si>
  <si>
    <t>ไม่เกิดเหลือง</t>
  </si>
  <si>
    <t>ไม่เหลือง</t>
  </si>
  <si>
    <t>ทิศกลับ S1 → S2</t>
  </si>
  <si>
    <t>สถานะเขียว/เหลือง</t>
  </si>
  <si>
    <t>บัง S1 ก่อน S2</t>
  </si>
  <si>
    <t>ไม่เกิดแดง</t>
  </si>
  <si>
    <t>ไม่แดง</t>
  </si>
  <si>
    <t>ทดสอบรถจริง</t>
  </si>
  <si>
    <t>E-Car + dolly วิ่งครบรอบ</t>
  </si>
  <si>
    <t>ระบบพร้อม</t>
  </si>
  <si>
    <t>ใช้ E-Car ลาก dolly จริงวิ่งผ่าน S4→S1</t>
  </si>
  <si>
    <t>เขียว → เหลือง → แดง → เหลือง → เขียว ตามลำดับ</t>
  </si>
  <si>
    <t>ครบลำดับ</t>
  </si>
  <si>
    <t>ช่องว่างรถ–dolly ไม่ทำให้ไฟกะพริบ</t>
  </si>
  <si>
    <t>gap_hold_s = 1.2</t>
  </si>
  <si>
    <t>สังเกตจอระหว่างขบวนผ่านเซนเซอร์</t>
  </si>
  <si>
    <t>ไฟไม่กระโดดกลับเขียวระหว่างขบวน</t>
  </si>
  <si>
    <t>ไม่กะพริบ</t>
  </si>
  <si>
    <t>ความผิดปกติ</t>
  </si>
  <si>
    <t>ถอดเซนเซอร์ 1 ตัว</t>
  </si>
  <si>
    <t>ระบบทำงานปกติ</t>
  </si>
  <si>
    <t>ถอด USB-RS485 ของ S2</t>
  </si>
  <si>
    <t>ภายใน ~2 s ขึ้น fault ใน log จอไม่แสดงเขียวผิด</t>
  </si>
  <si>
    <t>เสียบเซนเซอร์กลับ</t>
  </si>
  <si>
    <t>ต่อจาก FLT-01</t>
  </si>
  <si>
    <t>เสียบกลับ</t>
  </si>
  <si>
    <t>เปิดพอร์ตใหม่เอง fault หายเมื่อข้อมูลนิ่ง</t>
  </si>
  <si>
    <t>กลับมาเอง</t>
  </si>
  <si>
    <t>S1 เสียระหว่างแดง</t>
  </si>
  <si>
    <t>ถอด S1</t>
  </si>
  <si>
    <t>ค้างแดง (fail-safe) ไม่ปล่อยเหลือง</t>
  </si>
  <si>
    <t>ค้างแดง</t>
  </si>
  <si>
    <t>สาย LAN จอหลุด</t>
  </si>
  <si>
    <t>ถอดสาย LAN ของ D2</t>
  </si>
  <si>
    <t>D2 ขึ้น LINK ERR จออื่นทำงานต่อ</t>
  </si>
  <si>
    <t>ตัวควบคุมหยุด</t>
  </si>
  <si>
    <t>systemctl stop trafficlight</t>
  </si>
  <si>
    <t>ทุกจอขึ้น LINK ERR ไม่ค้างเขียว</t>
  </si>
  <si>
    <t>รีบูต/เริ่มเอง</t>
  </si>
  <si>
    <t>รีบูต Pi</t>
  </si>
  <si>
    <t>sudo reboot</t>
  </si>
  <si>
    <t>mosquitto + trafficlight active เอง จอกลับมาเอง</t>
  </si>
  <si>
    <t>กลับมาเองครบ</t>
  </si>
  <si>
    <t>ค่าที่ตั้งยังอยู่หลังรีบูต</t>
  </si>
  <si>
    <t>เช็ค /etc/trafficlight/settings.json หลังบูต</t>
  </si>
  <si>
    <t>ค่าเหมือนก่อนรีบูต</t>
  </si>
  <si>
    <t>ค่าเดิม</t>
  </si>
  <si>
    <t>สรุปผลการทดสอบ</t>
  </si>
  <si>
    <t>จำนวนข้อ</t>
  </si>
  <si>
    <t>Fail</t>
  </si>
  <si>
    <t>N/A</t>
  </si>
  <si>
    <t>ยังไม่ทดสอบ</t>
  </si>
  <si>
    <t>รวม</t>
  </si>
  <si>
    <t>% ผ่าน (Pass / ข้อที่ทดสอบแล้ว)</t>
  </si>
  <si>
    <t>เขียวหมด</t>
  </si>
  <si>
    <t>เหลืองหมด</t>
  </si>
  <si>
    <t>แดงหมด</t>
  </si>
  <si>
    <t>failตลอด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</si>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</sst>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i/>
      <sz val="9"/>
      <name val="Tahoma"/>
      <family val="2"/>
    </font>
    <font>
      <b/>
      <sz val="12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0070C0"/>
        <bgColor rgb="FFC0C0C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6"/>
  <sheetViews>
    <sheetView tabSelected="1" zoomScaleNormal="100" workbookViewId="0">
      <pane xSplit="2" ySplit="9" topLeftCell="C26" activePane="bottomRight" state="frozen"/>
      <selection pane="topRight" activeCell="C1" sqref="C1"/>
      <selection pane="bottomLeft" activeCell="A10" sqref="A10"/>
      <selection pane="bottomRight" activeCell="E48" sqref="E48"/>
    </sheetView>
  </sheetViews>
  <sheetFormatPr defaultColWidth="8.6640625" defaultRowHeight="14.25" x14ac:dyDescent="0.45"/>
  <cols>
    <col min="1" max="1" width="8" customWidth="1"/>
    <col min="2" max="2" width="14" customWidth="1"/>
    <col min="3" max="3" width="30" customWidth="1"/>
    <col min="4" max="4" width="26" customWidth="1"/>
    <col min="5" max="6" width="40" customWidth="1"/>
    <col min="7" max="7" width="36" customWidth="1"/>
    <col min="8" max="8" width="8" customWidth="1"/>
    <col min="9" max="9" width="24" customWidth="1"/>
  </cols>
  <sheetData>
    <row r="1" spans="1:9" ht="16.5" x14ac:dyDescent="0.45">
      <c r="A1" s="1" t="s">
        <v>0</v>
      </c>
    </row>
    <row r="3" spans="1:9" x14ac:dyDescent="0.45">
      <c r="A3" s="2" t="s">
        <v>1</v>
      </c>
      <c r="C3" s="3" t="s">
        <v>2</v>
      </c>
    </row>
    <row r="4" spans="1:9" x14ac:dyDescent="0.45">
      <c r="A4" s="2" t="s">
        <v>3</v>
      </c>
      <c r="C4" s="3" t="s">
        <v>4</v>
      </c>
    </row>
    <row r="5" spans="1:9" x14ac:dyDescent="0.45">
      <c r="A5" s="2" t="s">
        <v>5</v>
      </c>
      <c r="C5" s="3" t="s">
        <v>6</v>
      </c>
    </row>
    <row r="6" spans="1:9" x14ac:dyDescent="0.45">
      <c r="A6" s="2" t="s">
        <v>7</v>
      </c>
      <c r="C6" s="3" t="s">
        <v>8</v>
      </c>
    </row>
    <row r="7" spans="1:9" x14ac:dyDescent="0.45">
      <c r="A7" s="2" t="s">
        <v>9</v>
      </c>
      <c r="C7" s="3" t="s">
        <v>10</v>
      </c>
    </row>
    <row r="9" spans="1:9" x14ac:dyDescent="0.45">
      <c r="A9" s="14" t="s">
        <v>170</v>
      </c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4" t="s">
        <v>16</v>
      </c>
      <c r="H9" s="14" t="s">
        <v>17</v>
      </c>
      <c r="I9" s="14" t="s">
        <v>18</v>
      </c>
    </row>
    <row r="10" spans="1:9" ht="25.5" x14ac:dyDescent="0.45">
      <c r="A10" s="4">
        <v>1</v>
      </c>
      <c r="B10" s="5" t="s">
        <v>19</v>
      </c>
      <c r="C10" s="5" t="s">
        <v>20</v>
      </c>
      <c r="D10" s="5" t="s">
        <v>21</v>
      </c>
      <c r="E10" s="5" t="s">
        <v>22</v>
      </c>
      <c r="F10" s="5" t="s">
        <v>23</v>
      </c>
      <c r="G10" s="5" t="s">
        <v>23</v>
      </c>
      <c r="H10" s="4" t="s">
        <v>24</v>
      </c>
      <c r="I10" s="5"/>
    </row>
    <row r="11" spans="1:9" ht="25.5" x14ac:dyDescent="0.45">
      <c r="A11" s="4">
        <v>2</v>
      </c>
      <c r="B11" s="5" t="s">
        <v>19</v>
      </c>
      <c r="C11" s="5" t="s">
        <v>25</v>
      </c>
      <c r="D11" s="5" t="s">
        <v>26</v>
      </c>
      <c r="E11" s="5" t="s">
        <v>27</v>
      </c>
      <c r="F11" s="5" t="s">
        <v>28</v>
      </c>
      <c r="G11" s="5"/>
      <c r="H11" s="4" t="s">
        <v>24</v>
      </c>
      <c r="I11" s="5"/>
    </row>
    <row r="12" spans="1:9" ht="25.5" x14ac:dyDescent="0.45">
      <c r="A12" s="4">
        <v>3</v>
      </c>
      <c r="B12" s="5" t="s">
        <v>19</v>
      </c>
      <c r="C12" s="5" t="s">
        <v>29</v>
      </c>
      <c r="D12" s="5" t="s">
        <v>30</v>
      </c>
      <c r="E12" s="5" t="s">
        <v>31</v>
      </c>
      <c r="F12" s="5" t="s">
        <v>32</v>
      </c>
      <c r="G12" s="5"/>
      <c r="H12" s="4" t="s">
        <v>24</v>
      </c>
      <c r="I12" s="5"/>
    </row>
    <row r="13" spans="1:9" x14ac:dyDescent="0.45">
      <c r="A13" s="4">
        <v>4</v>
      </c>
      <c r="B13" s="5" t="s">
        <v>33</v>
      </c>
      <c r="C13" s="5" t="s">
        <v>34</v>
      </c>
      <c r="D13" s="5" t="s">
        <v>35</v>
      </c>
      <c r="E13" s="5" t="s">
        <v>36</v>
      </c>
      <c r="F13" s="5" t="s">
        <v>37</v>
      </c>
      <c r="G13" s="5"/>
      <c r="H13" s="4" t="s">
        <v>24</v>
      </c>
      <c r="I13" s="5"/>
    </row>
    <row r="14" spans="1:9" x14ac:dyDescent="0.45">
      <c r="A14" s="4">
        <v>5</v>
      </c>
      <c r="B14" s="5" t="s">
        <v>33</v>
      </c>
      <c r="C14" s="5" t="s">
        <v>38</v>
      </c>
      <c r="D14" s="5" t="s">
        <v>39</v>
      </c>
      <c r="E14" s="5" t="s">
        <v>40</v>
      </c>
      <c r="F14" s="5" t="s">
        <v>41</v>
      </c>
      <c r="G14" s="5"/>
      <c r="H14" s="4" t="s">
        <v>24</v>
      </c>
      <c r="I14" s="5"/>
    </row>
    <row r="15" spans="1:9" x14ac:dyDescent="0.45">
      <c r="A15" s="4">
        <v>6</v>
      </c>
      <c r="B15" s="5" t="s">
        <v>33</v>
      </c>
      <c r="C15" s="5" t="s">
        <v>42</v>
      </c>
      <c r="D15" s="5" t="s">
        <v>43</v>
      </c>
      <c r="E15" s="5" t="s">
        <v>44</v>
      </c>
      <c r="F15" s="5" t="s">
        <v>45</v>
      </c>
      <c r="G15" s="5" t="s">
        <v>46</v>
      </c>
      <c r="H15" s="4" t="s">
        <v>24</v>
      </c>
      <c r="I15" s="5"/>
    </row>
    <row r="16" spans="1:9" x14ac:dyDescent="0.45">
      <c r="A16" s="4">
        <v>7</v>
      </c>
      <c r="B16" s="5" t="s">
        <v>47</v>
      </c>
      <c r="C16" s="5" t="s">
        <v>48</v>
      </c>
      <c r="D16" s="5" t="s">
        <v>49</v>
      </c>
      <c r="E16" s="5" t="s">
        <v>50</v>
      </c>
      <c r="F16" s="5" t="s">
        <v>51</v>
      </c>
      <c r="G16" s="5" t="s">
        <v>166</v>
      </c>
      <c r="H16" s="4" t="s">
        <v>24</v>
      </c>
      <c r="I16" s="5"/>
    </row>
    <row r="17" spans="1:9" x14ac:dyDescent="0.45">
      <c r="A17" s="4">
        <v>8</v>
      </c>
      <c r="B17" s="5" t="s">
        <v>47</v>
      </c>
      <c r="C17" s="5" t="s">
        <v>52</v>
      </c>
      <c r="D17" s="5" t="s">
        <v>49</v>
      </c>
      <c r="E17" s="5" t="s">
        <v>53</v>
      </c>
      <c r="F17" s="5" t="s">
        <v>54</v>
      </c>
      <c r="G17" s="5" t="s">
        <v>167</v>
      </c>
      <c r="H17" s="4" t="s">
        <v>24</v>
      </c>
      <c r="I17" s="5"/>
    </row>
    <row r="18" spans="1:9" x14ac:dyDescent="0.45">
      <c r="A18" s="4">
        <v>9</v>
      </c>
      <c r="B18" s="5" t="s">
        <v>47</v>
      </c>
      <c r="C18" s="5" t="s">
        <v>56</v>
      </c>
      <c r="D18" s="5" t="s">
        <v>49</v>
      </c>
      <c r="E18" s="5" t="s">
        <v>57</v>
      </c>
      <c r="F18" s="5" t="s">
        <v>58</v>
      </c>
      <c r="G18" s="5" t="s">
        <v>168</v>
      </c>
      <c r="H18" s="4" t="s">
        <v>24</v>
      </c>
      <c r="I18" s="5"/>
    </row>
    <row r="19" spans="1:9" x14ac:dyDescent="0.45">
      <c r="A19" s="4">
        <v>10</v>
      </c>
      <c r="B19" s="5" t="s">
        <v>47</v>
      </c>
      <c r="C19" s="5" t="s">
        <v>59</v>
      </c>
      <c r="D19" s="5" t="s">
        <v>49</v>
      </c>
      <c r="E19" s="5" t="s">
        <v>60</v>
      </c>
      <c r="F19" s="5" t="s">
        <v>61</v>
      </c>
      <c r="G19" s="5" t="s">
        <v>62</v>
      </c>
      <c r="H19" s="4" t="s">
        <v>24</v>
      </c>
      <c r="I19" s="5"/>
    </row>
    <row r="20" spans="1:9" x14ac:dyDescent="0.45">
      <c r="A20" s="4">
        <v>11</v>
      </c>
      <c r="B20" s="5" t="s">
        <v>47</v>
      </c>
      <c r="C20" s="5" t="s">
        <v>63</v>
      </c>
      <c r="D20" s="5" t="s">
        <v>64</v>
      </c>
      <c r="E20" s="5" t="s">
        <v>65</v>
      </c>
      <c r="F20" s="5" t="s">
        <v>66</v>
      </c>
      <c r="G20" s="5" t="s">
        <v>67</v>
      </c>
      <c r="H20" s="4" t="s">
        <v>24</v>
      </c>
      <c r="I20" s="5"/>
    </row>
    <row r="21" spans="1:9" ht="25.5" x14ac:dyDescent="0.45">
      <c r="A21" s="4">
        <v>12</v>
      </c>
      <c r="B21" s="5" t="s">
        <v>68</v>
      </c>
      <c r="C21" s="5" t="s">
        <v>69</v>
      </c>
      <c r="D21" s="5" t="s">
        <v>70</v>
      </c>
      <c r="E21" s="5" t="s">
        <v>71</v>
      </c>
      <c r="F21" s="5" t="s">
        <v>72</v>
      </c>
      <c r="G21" s="5" t="s">
        <v>73</v>
      </c>
      <c r="H21" s="4" t="s">
        <v>24</v>
      </c>
      <c r="I21" s="5"/>
    </row>
    <row r="22" spans="1:9" ht="25.5" x14ac:dyDescent="0.45">
      <c r="A22" s="4">
        <v>13</v>
      </c>
      <c r="B22" s="5" t="s">
        <v>68</v>
      </c>
      <c r="C22" s="5" t="s">
        <v>74</v>
      </c>
      <c r="D22" s="5" t="s">
        <v>75</v>
      </c>
      <c r="E22" s="5" t="s">
        <v>76</v>
      </c>
      <c r="F22" s="5" t="s">
        <v>77</v>
      </c>
      <c r="G22" s="5" t="s">
        <v>78</v>
      </c>
      <c r="H22" s="4" t="s">
        <v>24</v>
      </c>
      <c r="I22" s="5"/>
    </row>
    <row r="23" spans="1:9" x14ac:dyDescent="0.45">
      <c r="A23" s="4">
        <v>14</v>
      </c>
      <c r="B23" s="5" t="s">
        <v>79</v>
      </c>
      <c r="C23" s="5" t="s">
        <v>80</v>
      </c>
      <c r="D23" s="5" t="s">
        <v>81</v>
      </c>
      <c r="E23" s="5" t="s">
        <v>82</v>
      </c>
      <c r="F23" s="5" t="s">
        <v>83</v>
      </c>
      <c r="G23" s="5" t="s">
        <v>84</v>
      </c>
      <c r="H23" s="4" t="s">
        <v>24</v>
      </c>
      <c r="I23" s="5"/>
    </row>
    <row r="24" spans="1:9" x14ac:dyDescent="0.45">
      <c r="A24" s="4">
        <v>15</v>
      </c>
      <c r="B24" s="5" t="s">
        <v>79</v>
      </c>
      <c r="C24" s="5" t="s">
        <v>85</v>
      </c>
      <c r="D24" s="5" t="s">
        <v>81</v>
      </c>
      <c r="E24" s="5" t="s">
        <v>86</v>
      </c>
      <c r="F24" s="5" t="s">
        <v>87</v>
      </c>
      <c r="G24" s="5" t="s">
        <v>87</v>
      </c>
      <c r="H24" s="4" t="s">
        <v>24</v>
      </c>
      <c r="I24" s="5"/>
    </row>
    <row r="25" spans="1:9" x14ac:dyDescent="0.45">
      <c r="A25" s="4">
        <v>16</v>
      </c>
      <c r="B25" s="5" t="s">
        <v>79</v>
      </c>
      <c r="C25" s="5" t="s">
        <v>88</v>
      </c>
      <c r="D25" s="5" t="s">
        <v>89</v>
      </c>
      <c r="E25" s="5" t="s">
        <v>90</v>
      </c>
      <c r="F25" s="5" t="s">
        <v>91</v>
      </c>
      <c r="G25" s="5" t="s">
        <v>92</v>
      </c>
      <c r="H25" s="4" t="s">
        <v>24</v>
      </c>
      <c r="I25" s="5"/>
    </row>
    <row r="26" spans="1:9" x14ac:dyDescent="0.45">
      <c r="A26" s="4">
        <v>17</v>
      </c>
      <c r="B26" s="5" t="s">
        <v>79</v>
      </c>
      <c r="C26" s="5" t="s">
        <v>93</v>
      </c>
      <c r="D26" s="5" t="s">
        <v>94</v>
      </c>
      <c r="E26" s="5" t="s">
        <v>95</v>
      </c>
      <c r="F26" s="5" t="s">
        <v>96</v>
      </c>
      <c r="G26" s="5" t="s">
        <v>97</v>
      </c>
      <c r="H26" s="4" t="s">
        <v>24</v>
      </c>
      <c r="I26" s="5"/>
    </row>
    <row r="27" spans="1:9" x14ac:dyDescent="0.45">
      <c r="A27" s="4">
        <v>18</v>
      </c>
      <c r="B27" s="5" t="s">
        <v>79</v>
      </c>
      <c r="C27" s="5" t="s">
        <v>98</v>
      </c>
      <c r="D27" s="5" t="s">
        <v>94</v>
      </c>
      <c r="E27" s="5" t="s">
        <v>99</v>
      </c>
      <c r="F27" s="5" t="s">
        <v>100</v>
      </c>
      <c r="G27" s="5" t="s">
        <v>55</v>
      </c>
      <c r="H27" s="4" t="s">
        <v>24</v>
      </c>
      <c r="I27" s="5"/>
    </row>
    <row r="28" spans="1:9" x14ac:dyDescent="0.45">
      <c r="A28" s="4">
        <v>19</v>
      </c>
      <c r="B28" s="5" t="s">
        <v>79</v>
      </c>
      <c r="C28" s="5" t="s">
        <v>101</v>
      </c>
      <c r="D28" s="5" t="s">
        <v>102</v>
      </c>
      <c r="E28" s="5" t="s">
        <v>103</v>
      </c>
      <c r="F28" s="5" t="s">
        <v>104</v>
      </c>
      <c r="G28" s="5" t="s">
        <v>104</v>
      </c>
      <c r="H28" s="4" t="s">
        <v>24</v>
      </c>
      <c r="I28" s="5"/>
    </row>
    <row r="29" spans="1:9" x14ac:dyDescent="0.45">
      <c r="A29" s="4">
        <v>20</v>
      </c>
      <c r="B29" s="5" t="s">
        <v>79</v>
      </c>
      <c r="C29" s="5" t="s">
        <v>105</v>
      </c>
      <c r="D29" s="5" t="s">
        <v>106</v>
      </c>
      <c r="E29" s="5" t="s">
        <v>107</v>
      </c>
      <c r="F29" s="5" t="s">
        <v>108</v>
      </c>
      <c r="G29" s="5" t="s">
        <v>109</v>
      </c>
      <c r="H29" s="4" t="s">
        <v>24</v>
      </c>
      <c r="I29" s="5"/>
    </row>
    <row r="30" spans="1:9" x14ac:dyDescent="0.45">
      <c r="A30" s="4">
        <v>21</v>
      </c>
      <c r="B30" s="5" t="s">
        <v>79</v>
      </c>
      <c r="C30" s="5" t="s">
        <v>110</v>
      </c>
      <c r="D30" s="5" t="s">
        <v>81</v>
      </c>
      <c r="E30" s="5" t="s">
        <v>111</v>
      </c>
      <c r="F30" s="5" t="s">
        <v>112</v>
      </c>
      <c r="G30" s="5" t="s">
        <v>113</v>
      </c>
      <c r="H30" s="4" t="s">
        <v>24</v>
      </c>
      <c r="I30" s="5"/>
    </row>
    <row r="31" spans="1:9" x14ac:dyDescent="0.45">
      <c r="A31" s="4">
        <v>22</v>
      </c>
      <c r="B31" s="5" t="s">
        <v>79</v>
      </c>
      <c r="C31" s="5" t="s">
        <v>114</v>
      </c>
      <c r="D31" s="5" t="s">
        <v>115</v>
      </c>
      <c r="E31" s="5" t="s">
        <v>116</v>
      </c>
      <c r="F31" s="5" t="s">
        <v>117</v>
      </c>
      <c r="G31" s="5" t="s">
        <v>118</v>
      </c>
      <c r="H31" s="4" t="s">
        <v>24</v>
      </c>
      <c r="I31" s="5"/>
    </row>
    <row r="32" spans="1:9" ht="25.5" x14ac:dyDescent="0.45">
      <c r="A32" s="4">
        <v>23</v>
      </c>
      <c r="B32" s="5" t="s">
        <v>119</v>
      </c>
      <c r="C32" s="5" t="s">
        <v>120</v>
      </c>
      <c r="D32" s="5" t="s">
        <v>121</v>
      </c>
      <c r="E32" s="5" t="s">
        <v>122</v>
      </c>
      <c r="F32" s="5" t="s">
        <v>123</v>
      </c>
      <c r="G32" s="5" t="s">
        <v>124</v>
      </c>
      <c r="H32" s="4" t="s">
        <v>24</v>
      </c>
      <c r="I32" s="5"/>
    </row>
    <row r="33" spans="1:9" x14ac:dyDescent="0.45">
      <c r="A33" s="4">
        <v>24</v>
      </c>
      <c r="B33" s="5" t="s">
        <v>119</v>
      </c>
      <c r="C33" s="5" t="s">
        <v>125</v>
      </c>
      <c r="D33" s="5" t="s">
        <v>126</v>
      </c>
      <c r="E33" s="5" t="s">
        <v>127</v>
      </c>
      <c r="F33" s="5" t="s">
        <v>128</v>
      </c>
      <c r="G33" s="5" t="s">
        <v>129</v>
      </c>
      <c r="H33" s="4" t="s">
        <v>24</v>
      </c>
      <c r="I33" s="5"/>
    </row>
    <row r="34" spans="1:9" x14ac:dyDescent="0.45">
      <c r="A34" s="4">
        <v>25</v>
      </c>
      <c r="B34" s="5" t="s">
        <v>130</v>
      </c>
      <c r="C34" s="5" t="s">
        <v>131</v>
      </c>
      <c r="D34" s="5" t="s">
        <v>132</v>
      </c>
      <c r="E34" s="5" t="s">
        <v>133</v>
      </c>
      <c r="F34" s="5" t="s">
        <v>134</v>
      </c>
      <c r="G34" s="5" t="s">
        <v>169</v>
      </c>
      <c r="H34" s="4" t="s">
        <v>24</v>
      </c>
      <c r="I34" s="5"/>
    </row>
    <row r="35" spans="1:9" x14ac:dyDescent="0.45">
      <c r="A35" s="4">
        <v>26</v>
      </c>
      <c r="B35" s="5" t="s">
        <v>130</v>
      </c>
      <c r="C35" s="5" t="s">
        <v>135</v>
      </c>
      <c r="D35" s="5" t="s">
        <v>136</v>
      </c>
      <c r="E35" s="5" t="s">
        <v>137</v>
      </c>
      <c r="F35" s="5" t="s">
        <v>138</v>
      </c>
      <c r="G35" s="5" t="s">
        <v>139</v>
      </c>
      <c r="H35" s="4" t="s">
        <v>24</v>
      </c>
      <c r="I35" s="5"/>
    </row>
    <row r="36" spans="1:9" x14ac:dyDescent="0.45">
      <c r="A36" s="4">
        <v>27</v>
      </c>
      <c r="B36" s="5" t="s">
        <v>130</v>
      </c>
      <c r="C36" s="5" t="s">
        <v>140</v>
      </c>
      <c r="D36" s="5" t="s">
        <v>94</v>
      </c>
      <c r="E36" s="5" t="s">
        <v>141</v>
      </c>
      <c r="F36" s="5" t="s">
        <v>142</v>
      </c>
      <c r="G36" s="5" t="s">
        <v>143</v>
      </c>
      <c r="H36" s="4" t="s">
        <v>24</v>
      </c>
      <c r="I36" s="5"/>
    </row>
    <row r="37" spans="1:9" x14ac:dyDescent="0.45">
      <c r="A37" s="4">
        <v>28</v>
      </c>
      <c r="B37" s="5" t="s">
        <v>130</v>
      </c>
      <c r="C37" s="5" t="s">
        <v>144</v>
      </c>
      <c r="D37" s="5" t="s">
        <v>132</v>
      </c>
      <c r="E37" s="5" t="s">
        <v>145</v>
      </c>
      <c r="F37" s="5" t="s">
        <v>146</v>
      </c>
      <c r="G37" s="5" t="s">
        <v>55</v>
      </c>
      <c r="H37" s="4" t="s">
        <v>24</v>
      </c>
      <c r="I37" s="5"/>
    </row>
    <row r="38" spans="1:9" x14ac:dyDescent="0.45">
      <c r="A38" s="4">
        <v>29</v>
      </c>
      <c r="B38" s="5" t="s">
        <v>130</v>
      </c>
      <c r="C38" s="5" t="s">
        <v>147</v>
      </c>
      <c r="D38" s="5" t="s">
        <v>132</v>
      </c>
      <c r="E38" s="5" t="s">
        <v>148</v>
      </c>
      <c r="F38" s="5" t="s">
        <v>149</v>
      </c>
      <c r="G38" s="5" t="s">
        <v>55</v>
      </c>
      <c r="H38" s="4" t="s">
        <v>24</v>
      </c>
      <c r="I38" s="5"/>
    </row>
    <row r="39" spans="1:9" x14ac:dyDescent="0.45">
      <c r="A39" s="4">
        <v>30</v>
      </c>
      <c r="B39" s="5" t="s">
        <v>150</v>
      </c>
      <c r="C39" s="5" t="s">
        <v>151</v>
      </c>
      <c r="D39" s="5" t="s">
        <v>132</v>
      </c>
      <c r="E39" s="5" t="s">
        <v>152</v>
      </c>
      <c r="F39" s="5" t="s">
        <v>153</v>
      </c>
      <c r="G39" s="5" t="s">
        <v>154</v>
      </c>
      <c r="H39" s="4" t="s">
        <v>24</v>
      </c>
      <c r="I39" s="5"/>
    </row>
    <row r="40" spans="1:9" x14ac:dyDescent="0.45">
      <c r="A40" s="4">
        <v>31</v>
      </c>
      <c r="B40" s="5" t="s">
        <v>150</v>
      </c>
      <c r="C40" s="5" t="s">
        <v>155</v>
      </c>
      <c r="D40" s="5" t="s">
        <v>75</v>
      </c>
      <c r="E40" s="5" t="s">
        <v>156</v>
      </c>
      <c r="F40" s="5" t="s">
        <v>157</v>
      </c>
      <c r="G40" s="5" t="s">
        <v>158</v>
      </c>
      <c r="H40" s="4" t="s">
        <v>24</v>
      </c>
      <c r="I40" s="5"/>
    </row>
    <row r="42" spans="1:9" x14ac:dyDescent="0.45">
      <c r="A42" s="6"/>
    </row>
    <row r="44" spans="1:9" x14ac:dyDescent="0.45">
      <c r="B44" s="3"/>
    </row>
    <row r="46" spans="1:9" x14ac:dyDescent="0.45">
      <c r="B46" s="3"/>
    </row>
  </sheetData>
  <autoFilter ref="A9:I40" xr:uid="{00000000-0009-0000-0000-000000000000}"/>
  <dataValidations count="1">
    <dataValidation type="list" allowBlank="1" sqref="H10:H40" xr:uid="{00000000-0002-0000-0000-000000000000}">
      <formula1>"Pass,Fail,N/A"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headerFooter>
    <oddHeader>&amp;L&amp;"Aptos"&amp;13&amp;K000000 •• PROTECTED&amp;1#_x000D_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opLeftCell="A2" zoomScale="112" zoomScaleNormal="100" workbookViewId="0">
      <selection activeCell="F16" sqref="F16"/>
    </sheetView>
  </sheetViews>
  <sheetFormatPr defaultColWidth="8.6640625" defaultRowHeight="14.25" x14ac:dyDescent="0.45"/>
  <cols>
    <col min="1" max="1" width="30" customWidth="1"/>
    <col min="2" max="6" width="12" customWidth="1"/>
  </cols>
  <sheetData>
    <row r="1" spans="1:6" ht="15.4" x14ac:dyDescent="0.45">
      <c r="A1" s="7" t="s">
        <v>159</v>
      </c>
    </row>
    <row r="3" spans="1:6" x14ac:dyDescent="0.45">
      <c r="A3" s="8" t="s">
        <v>11</v>
      </c>
      <c r="B3" s="8" t="s">
        <v>160</v>
      </c>
      <c r="C3" s="8" t="s">
        <v>24</v>
      </c>
      <c r="D3" s="8" t="s">
        <v>161</v>
      </c>
      <c r="E3" s="8" t="s">
        <v>162</v>
      </c>
      <c r="F3" s="8" t="s">
        <v>163</v>
      </c>
    </row>
    <row r="4" spans="1:6" x14ac:dyDescent="0.45">
      <c r="A4" s="9" t="s">
        <v>19</v>
      </c>
      <c r="B4" s="10">
        <f>COUNTIF('Test Scenario'!$B$10:$B$40,A4)</f>
        <v>3</v>
      </c>
      <c r="C4" s="10">
        <f>COUNTIFS('Test Scenario'!$B$10:$B$40,A4,'Test Scenario'!$H$10:$H$40,"Pass")</f>
        <v>3</v>
      </c>
      <c r="D4" s="10">
        <f>COUNTIFS('Test Scenario'!$B$10:$B$40,A4,'Test Scenario'!$H$10:$H$40,"Fail")</f>
        <v>0</v>
      </c>
      <c r="E4" s="10">
        <f>COUNTIFS('Test Scenario'!$B$10:$B$40,A4,'Test Scenario'!$H$10:$H$40,"N/A")</f>
        <v>0</v>
      </c>
      <c r="F4" s="10">
        <f t="shared" ref="F4:F11" si="0">B4-C4-D4-E4</f>
        <v>0</v>
      </c>
    </row>
    <row r="5" spans="1:6" x14ac:dyDescent="0.45">
      <c r="A5" s="9" t="s">
        <v>33</v>
      </c>
      <c r="B5" s="10">
        <f>COUNTIF('Test Scenario'!$B$10:$B$40,A5)</f>
        <v>3</v>
      </c>
      <c r="C5" s="10">
        <f>COUNTIFS('Test Scenario'!$B$10:$B$40,A5,'Test Scenario'!$H$10:$H$40,"Pass")</f>
        <v>3</v>
      </c>
      <c r="D5" s="10">
        <f>COUNTIFS('Test Scenario'!$B$10:$B$40,A5,'Test Scenario'!$H$10:$H$40,"Fail")</f>
        <v>0</v>
      </c>
      <c r="E5" s="10">
        <f>COUNTIFS('Test Scenario'!$B$10:$B$40,A5,'Test Scenario'!$H$10:$H$40,"N/A")</f>
        <v>0</v>
      </c>
      <c r="F5" s="10">
        <f t="shared" si="0"/>
        <v>0</v>
      </c>
    </row>
    <row r="6" spans="1:6" x14ac:dyDescent="0.45">
      <c r="A6" s="9" t="s">
        <v>47</v>
      </c>
      <c r="B6" s="10">
        <f>COUNTIF('Test Scenario'!$B$10:$B$40,A6)</f>
        <v>5</v>
      </c>
      <c r="C6" s="10">
        <f>COUNTIFS('Test Scenario'!$B$10:$B$40,A6,'Test Scenario'!$H$10:$H$40,"Pass")</f>
        <v>5</v>
      </c>
      <c r="D6" s="10">
        <f>COUNTIFS('Test Scenario'!$B$10:$B$40,A6,'Test Scenario'!$H$10:$H$40,"Fail")</f>
        <v>0</v>
      </c>
      <c r="E6" s="10">
        <f>COUNTIFS('Test Scenario'!$B$10:$B$40,A6,'Test Scenario'!$H$10:$H$40,"N/A")</f>
        <v>0</v>
      </c>
      <c r="F6" s="10">
        <f t="shared" si="0"/>
        <v>0</v>
      </c>
    </row>
    <row r="7" spans="1:6" x14ac:dyDescent="0.45">
      <c r="A7" s="9" t="s">
        <v>68</v>
      </c>
      <c r="B7" s="10">
        <f>COUNTIF('Test Scenario'!$B$10:$B$40,A7)</f>
        <v>2</v>
      </c>
      <c r="C7" s="10">
        <f>COUNTIFS('Test Scenario'!$B$10:$B$40,A7,'Test Scenario'!$H$10:$H$40,"Pass")</f>
        <v>2</v>
      </c>
      <c r="D7" s="10">
        <f>COUNTIFS('Test Scenario'!$B$10:$B$40,A7,'Test Scenario'!$H$10:$H$40,"Fail")</f>
        <v>0</v>
      </c>
      <c r="E7" s="10">
        <f>COUNTIFS('Test Scenario'!$B$10:$B$40,A7,'Test Scenario'!$H$10:$H$40,"N/A")</f>
        <v>0</v>
      </c>
      <c r="F7" s="10">
        <f t="shared" si="0"/>
        <v>0</v>
      </c>
    </row>
    <row r="8" spans="1:6" x14ac:dyDescent="0.45">
      <c r="A8" s="9" t="s">
        <v>79</v>
      </c>
      <c r="B8" s="10">
        <f>COUNTIF('Test Scenario'!$B$10:$B$40,A8)</f>
        <v>9</v>
      </c>
      <c r="C8" s="10">
        <f>COUNTIFS('Test Scenario'!$B$10:$B$40,A8,'Test Scenario'!$H$10:$H$40,"Pass")</f>
        <v>9</v>
      </c>
      <c r="D8" s="10">
        <f>COUNTIFS('Test Scenario'!$B$10:$B$40,A8,'Test Scenario'!$H$10:$H$40,"Fail")</f>
        <v>0</v>
      </c>
      <c r="E8" s="10">
        <f>COUNTIFS('Test Scenario'!$B$10:$B$40,A8,'Test Scenario'!$H$10:$H$40,"N/A")</f>
        <v>0</v>
      </c>
      <c r="F8" s="10">
        <f t="shared" si="0"/>
        <v>0</v>
      </c>
    </row>
    <row r="9" spans="1:6" x14ac:dyDescent="0.45">
      <c r="A9" s="9" t="s">
        <v>119</v>
      </c>
      <c r="B9" s="10">
        <f>COUNTIF('Test Scenario'!$B$10:$B$40,A9)</f>
        <v>2</v>
      </c>
      <c r="C9" s="10">
        <f>COUNTIFS('Test Scenario'!$B$10:$B$40,A9,'Test Scenario'!$H$10:$H$40,"Pass")</f>
        <v>2</v>
      </c>
      <c r="D9" s="10">
        <f>COUNTIFS('Test Scenario'!$B$10:$B$40,A9,'Test Scenario'!$H$10:$H$40,"Fail")</f>
        <v>0</v>
      </c>
      <c r="E9" s="10">
        <f>COUNTIFS('Test Scenario'!$B$10:$B$40,A9,'Test Scenario'!$H$10:$H$40,"N/A")</f>
        <v>0</v>
      </c>
      <c r="F9" s="10">
        <f t="shared" si="0"/>
        <v>0</v>
      </c>
    </row>
    <row r="10" spans="1:6" x14ac:dyDescent="0.45">
      <c r="A10" s="9" t="s">
        <v>130</v>
      </c>
      <c r="B10" s="10">
        <f>COUNTIF('Test Scenario'!$B$10:$B$40,A10)</f>
        <v>5</v>
      </c>
      <c r="C10" s="10">
        <f>COUNTIFS('Test Scenario'!$B$10:$B$40,A10,'Test Scenario'!$H$10:$H$40,"Pass")</f>
        <v>5</v>
      </c>
      <c r="D10" s="10">
        <f>COUNTIFS('Test Scenario'!$B$10:$B$40,A10,'Test Scenario'!$H$10:$H$40,"Fail")</f>
        <v>0</v>
      </c>
      <c r="E10" s="10">
        <f>COUNTIFS('Test Scenario'!$B$10:$B$40,A10,'Test Scenario'!$H$10:$H$40,"N/A")</f>
        <v>0</v>
      </c>
      <c r="F10" s="10">
        <f t="shared" si="0"/>
        <v>0</v>
      </c>
    </row>
    <row r="11" spans="1:6" x14ac:dyDescent="0.45">
      <c r="A11" s="9" t="s">
        <v>150</v>
      </c>
      <c r="B11" s="10">
        <f>COUNTIF('Test Scenario'!$B$10:$B$40,A11)</f>
        <v>2</v>
      </c>
      <c r="C11" s="10">
        <f>COUNTIFS('Test Scenario'!$B$10:$B$40,A11,'Test Scenario'!$H$10:$H$40,"Pass")</f>
        <v>2</v>
      </c>
      <c r="D11" s="10">
        <f>COUNTIFS('Test Scenario'!$B$10:$B$40,A11,'Test Scenario'!$H$10:$H$40,"Fail")</f>
        <v>0</v>
      </c>
      <c r="E11" s="10">
        <f>COUNTIFS('Test Scenario'!$B$10:$B$40,A11,'Test Scenario'!$H$10:$H$40,"N/A")</f>
        <v>0</v>
      </c>
      <c r="F11" s="10">
        <f t="shared" si="0"/>
        <v>0</v>
      </c>
    </row>
    <row r="12" spans="1:6" x14ac:dyDescent="0.45">
      <c r="A12" s="11" t="s">
        <v>164</v>
      </c>
      <c r="B12" s="12">
        <f>SUM(B4:B11)</f>
        <v>31</v>
      </c>
      <c r="C12" s="12">
        <f>SUM(C4:C11)</f>
        <v>31</v>
      </c>
      <c r="D12" s="12">
        <f>SUM(D4:D11)</f>
        <v>0</v>
      </c>
      <c r="E12" s="12">
        <f>SUM(E4:E11)</f>
        <v>0</v>
      </c>
      <c r="F12" s="12">
        <f>SUM(F4:F11)</f>
        <v>0</v>
      </c>
    </row>
    <row r="13" spans="1:6" x14ac:dyDescent="0.45">
      <c r="A13" s="11" t="s">
        <v>165</v>
      </c>
      <c r="B13" s="12"/>
      <c r="C13" s="13">
        <f>IF(B12-F12-E12=0,"-",C12/(B12-F12-E12))</f>
        <v>1</v>
      </c>
      <c r="D13" s="12"/>
      <c r="E13" s="12"/>
      <c r="F13" s="12"/>
    </row>
  </sheetData>
  <pageMargins left="0.75" right="0.75" top="1" bottom="1" header="0.511811023622047" footer="0.511811023622047"/>
  <pageSetup paperSize="9" orientation="portrait" horizontalDpi="300" verticalDpi="300"/>
  <headerFooter>
    <oddHeader>&amp;L&amp;"Aptos"&amp;13&amp;K000000 •• PROTECTED&amp;1#_x000D_</oddHeader>
  </headerFooter>
</worksheet>
</file>

<file path=docMetadata/LabelInfo.xml><?xml version="1.0" encoding="utf-8"?>
<clbl:labelList xmlns:clbl="http://schemas.microsoft.com/office/2020/mipLabelMetadata">
  <clbl:label id="{a280e33f-51f9-4eb7-bf6f-a0cb413b4c8b}" enabled="1" method="Standard" siteId="{d9cd485e-39bd-4cc9-9539-8c97631fbb7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 Scenario</vt:lpstr>
      <vt:lpstr>Summary</vt:lpstr>
      <vt:lpstr>'Test Scenario'!Print_Titles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Pongsatorn Termtachatipongsa (TMA)</cp:lastModifiedBy>
  <cp:revision>0</cp:revision>
  <dcterms:created xsi:type="dcterms:W3CDTF">2026-10-02T12:35:24Z</dcterms:created>
  <dcterms:modified xsi:type="dcterms:W3CDTF">2026-10-02T12:43:54Z</dcterms:modified>
  <dc:language>en-US</dc:language>
</cp:coreProperties>
</file>